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Occupation\2投递中\12 Unipharm\"/>
    </mc:Choice>
  </mc:AlternateContent>
  <xr:revisionPtr revIDLastSave="0" documentId="13_ncr:1_{39009BA4-26D5-4F1E-BAE4-C7CEFA300BBE}" xr6:coauthVersionLast="47" xr6:coauthVersionMax="47" xr10:uidLastSave="{00000000-0000-0000-0000-000000000000}"/>
  <bookViews>
    <workbookView xWindow="-110" yWindow="-110" windowWidth="25820" windowHeight="15500" firstSheet="1" activeTab="2" xr2:uid="{00000000-000D-0000-FFFF-FFFF00000000}"/>
  </bookViews>
  <sheets>
    <sheet name="00_使用说明" sheetId="1" r:id="rId1"/>
    <sheet name="01_SKU档案" sheetId="2" r:id="rId2"/>
    <sheet name="02_原料库存" sheetId="3" r:id="rId3"/>
    <sheet name="03_WIP在制品" sheetId="4" r:id="rId4"/>
    <sheet name="04_成品库存" sheetId="5" r:id="rId5"/>
    <sheet name="05_临期预警" sheetId="6" r:id="rId6"/>
    <sheet name="06_批次追溯" sheetId="7" r:id="rId7"/>
    <sheet name="07_Dashboard" sheetId="8" r:id="rId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8" l="1"/>
  <c r="B46" i="8" s="1"/>
  <c r="E44" i="8"/>
  <c r="D44" i="8"/>
  <c r="C44" i="8"/>
  <c r="B44" i="8"/>
  <c r="K17" i="8"/>
  <c r="K16" i="8"/>
  <c r="K15" i="8"/>
  <c r="K14" i="8"/>
  <c r="B17" i="8"/>
  <c r="B16" i="8"/>
  <c r="B15" i="8"/>
  <c r="B14" i="8"/>
  <c r="A9" i="8"/>
  <c r="G5" i="8"/>
  <c r="E5" i="8"/>
  <c r="C5" i="8"/>
  <c r="A5" i="8"/>
  <c r="A5" i="6" a="1"/>
  <c r="A5" i="6" s="1"/>
  <c r="H5" i="6" s="1"/>
  <c r="E46" i="8" l="1"/>
  <c r="D46" i="8"/>
  <c r="C46" i="8"/>
  <c r="C45" i="8"/>
  <c r="D45" i="8"/>
  <c r="E45" i="8"/>
  <c r="G9" i="8"/>
  <c r="E9" i="8"/>
  <c r="C9" i="8"/>
  <c r="H30" i="6"/>
  <c r="H61" i="6"/>
  <c r="H29" i="6"/>
  <c r="H60" i="6"/>
  <c r="H28" i="6"/>
  <c r="H59" i="6"/>
  <c r="H27" i="6"/>
  <c r="H35" i="6"/>
  <c r="H47" i="6"/>
  <c r="H15" i="6"/>
  <c r="H24" i="6"/>
  <c r="H34" i="6"/>
  <c r="H54" i="6"/>
  <c r="H50" i="6"/>
  <c r="H17" i="6"/>
  <c r="H44" i="6"/>
  <c r="H43" i="6"/>
  <c r="H11" i="6"/>
  <c r="H57" i="6"/>
  <c r="H53" i="6"/>
  <c r="H49" i="6"/>
  <c r="H37" i="6"/>
  <c r="H36" i="6"/>
  <c r="H33" i="6"/>
  <c r="H32" i="6"/>
  <c r="H31" i="6"/>
  <c r="H26" i="6"/>
  <c r="H25" i="6"/>
  <c r="H56" i="6"/>
  <c r="H23" i="6"/>
  <c r="H22" i="6"/>
  <c r="H21" i="6"/>
  <c r="H20" i="6"/>
  <c r="H19" i="6"/>
  <c r="H18" i="6"/>
  <c r="H16" i="6"/>
  <c r="H14" i="6"/>
  <c r="H45" i="6"/>
  <c r="H9" i="6"/>
  <c r="H40" i="6"/>
  <c r="H39" i="6"/>
  <c r="H7" i="6"/>
  <c r="H58" i="6"/>
  <c r="H55" i="6"/>
  <c r="H52" i="6"/>
  <c r="H51" i="6"/>
  <c r="H48" i="6"/>
  <c r="H46" i="6"/>
  <c r="H13" i="6"/>
  <c r="H12" i="6"/>
  <c r="H42" i="6"/>
  <c r="H10" i="6"/>
  <c r="H41" i="6"/>
  <c r="H8" i="6"/>
  <c r="H38" i="6"/>
  <c r="H6" i="6"/>
  <c r="A26" i="8" l="1" a="1"/>
  <c r="A26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<sst xmlns="http://schemas.openxmlformats.org/spreadsheetml/2006/main" count="1656" uniqueCount="662">
  <si>
    <t>Tasman Naturals NZ — Pharma OEM Inventory Dashboard / v1.0</t>
    <phoneticPr fontId="1" type="noConversion"/>
  </si>
  <si>
    <t>A 3-tier inventory analytics tool for pharma OEM, covering raw materials, WIP, and finished goods, with batch traceability and expiry-driven loss prevention.</t>
    <phoneticPr fontId="1" type="noConversion"/>
  </si>
  <si>
    <t>工具背景</t>
    <phoneticPr fontId="1" type="noConversion"/>
  </si>
  <si>
    <t>适用场景：新西兰保健品 OEM (健康膳食补充剂合同制造)</t>
    <phoneticPr fontId="1" type="noConversion"/>
  </si>
  <si>
    <t>核心问题：保健品行业 12-24 个月 shelf life，临期损耗是最大隐形成本</t>
    <phoneticPr fontId="1" type="noConversion"/>
  </si>
  <si>
    <t>设计原则</t>
    <phoneticPr fontId="1" type="noConversion"/>
  </si>
  <si>
    <t>① 三层立体库存监控 (Raw → WIP → FG)</t>
    <phoneticPr fontId="1" type="noConversion"/>
  </si>
  <si>
    <t>② 90/60/30 天三级临期预警</t>
    <phoneticPr fontId="1" type="noConversion"/>
  </si>
  <si>
    <t>③ 完整批次追溯链 (Raw Lot → WIP Batch → FG Batch → Customer Order)</t>
    <phoneticPr fontId="1" type="noConversion"/>
  </si>
  <si>
    <t>KPI 指标体系</t>
    <phoneticPr fontId="1" type="noConversion"/>
  </si>
  <si>
    <t xml:space="preserve">1. Days on Hand (DOH) - 库存周转天数 → 衡量资金占用
</t>
    <phoneticPr fontId="1" type="noConversion"/>
  </si>
  <si>
    <t xml:space="preserve">2. Stock Coverage - 库存覆盖天数 → 衡量缺货风险
</t>
    <phoneticPr fontId="1" type="noConversion"/>
  </si>
  <si>
    <t xml:space="preserve">3. Expiry Loss % - 临期损耗率 → 衡量临期管理水平
</t>
    <phoneticPr fontId="1" type="noConversion"/>
  </si>
  <si>
    <t xml:space="preserve">4. Batch Traceability Time - 批次追溯响应时间 → 合规审计 KPI
</t>
    <phoneticPr fontId="1" type="noConversion"/>
  </si>
  <si>
    <t xml:space="preserve">5. Stockout Rate - 缺货率 → 衡量供应链可靠度
</t>
    <phoneticPr fontId="1" type="noConversion"/>
  </si>
  <si>
    <t>6. Inventory Turnover Ratio - 库存周转率 → 财务健康度</t>
    <phoneticPr fontId="1" type="noConversion"/>
  </si>
  <si>
    <t>使用流程</t>
    <phoneticPr fontId="1" type="noConversion"/>
  </si>
  <si>
    <t xml:space="preserve">Step 1: 「01_SKU档案」维护所有 SKU 的主数据
</t>
    <phoneticPr fontId="1" type="noConversion"/>
  </si>
  <si>
    <t xml:space="preserve">Step 2: 「02_原料库存」记录所有原料 Lot 的库存与效期
</t>
    <phoneticPr fontId="1" type="noConversion"/>
  </si>
  <si>
    <t xml:space="preserve">Step 3: 「03_WIP在制品」跟踪生产中的批次
</t>
    <phoneticPr fontId="1" type="noConversion"/>
  </si>
  <si>
    <t xml:space="preserve">Step 4: 「04_成品库存」记录成品库存与效期
</t>
    <phoneticPr fontId="1" type="noConversion"/>
  </si>
  <si>
    <t xml:space="preserve">Step 5: 「05_临期预警」自动 90/60/30 天三色预警
</t>
    <phoneticPr fontId="1" type="noConversion"/>
  </si>
  <si>
    <t xml:space="preserve">Step 6: 「06_批次追溯」演示完整追溯链
</t>
    <phoneticPr fontId="1" type="noConversion"/>
  </si>
  <si>
    <t>Step 7: 「07_Dashboard」给老板看的高管视图</t>
    <phoneticPr fontId="1" type="noConversion"/>
  </si>
  <si>
    <t xml:space="preserve"> SKU 主数据档案 (SKU Master)</t>
    <phoneticPr fontId="1" type="noConversion"/>
  </si>
  <si>
    <t>所有产品 SKU 的主数据 — 是其他 sheet 的"查找表"</t>
    <phoneticPr fontId="1" type="noConversion"/>
  </si>
  <si>
    <t>SKU 编号</t>
    <phoneticPr fontId="1" type="noConversion"/>
  </si>
  <si>
    <t>产品名称</t>
    <phoneticPr fontId="1" type="noConversion"/>
  </si>
  <si>
    <t>剂型</t>
    <phoneticPr fontId="1" type="noConversion"/>
  </si>
  <si>
    <t>包装规格</t>
    <phoneticPr fontId="1" type="noConversion"/>
  </si>
  <si>
    <t>客户/品牌</t>
    <phoneticPr fontId="1" type="noConversion"/>
  </si>
  <si>
    <t>出口市场</t>
    <phoneticPr fontId="1" type="noConversion"/>
  </si>
  <si>
    <t>单位成本 (NZD)</t>
    <phoneticPr fontId="1" type="noConversion"/>
  </si>
  <si>
    <t>单位售价 (NZD)</t>
    <phoneticPr fontId="1" type="noConversion"/>
  </si>
  <si>
    <t>Shelf Life (月)</t>
    <phoneticPr fontId="1" type="noConversion"/>
  </si>
  <si>
    <t>最小起订量 (MOQ)</t>
    <phoneticPr fontId="1" type="noConversion"/>
  </si>
  <si>
    <t>Lead Time (天)</t>
    <phoneticPr fontId="1" type="noConversion"/>
  </si>
  <si>
    <t>原料层库存 (Raw Materials Inventory)</t>
    <phoneticPr fontId="1" type="noConversion"/>
  </si>
  <si>
    <t>按 Lot 号管理 ：每个原料批次独立追踪效期</t>
    <phoneticPr fontId="1" type="noConversion"/>
  </si>
  <si>
    <t>原料 Lot 号</t>
    <phoneticPr fontId="1" type="noConversion"/>
  </si>
  <si>
    <t>供应商编号</t>
    <phoneticPr fontId="1" type="noConversion"/>
  </si>
  <si>
    <t>供应商名称</t>
    <phoneticPr fontId="1" type="noConversion"/>
  </si>
  <si>
    <t>原料品类</t>
    <phoneticPr fontId="1" type="noConversion"/>
  </si>
  <si>
    <t>入库日期</t>
    <phoneticPr fontId="1" type="noConversion"/>
  </si>
  <si>
    <t>效期截止</t>
    <phoneticPr fontId="1" type="noConversion"/>
  </si>
  <si>
    <t>入库数量 (kg)</t>
    <phoneticPr fontId="1" type="noConversion"/>
  </si>
  <si>
    <t>剩余数量 (kg)</t>
    <phoneticPr fontId="1" type="noConversion"/>
  </si>
  <si>
    <t>单位成本 (NZD/kg)</t>
    <phoneticPr fontId="1" type="noConversion"/>
  </si>
  <si>
    <t>状态</t>
    <phoneticPr fontId="1" type="noConversion"/>
  </si>
  <si>
    <t>在制品层库存 (Work-in-Process Inventory)</t>
    <phoneticPr fontId="1" type="noConversion"/>
  </si>
  <si>
    <t>追踪正在生产中的批次 — 关联到原料 Lot 和成品 SKU</t>
    <phoneticPr fontId="1" type="noConversion"/>
  </si>
  <si>
    <t>WIP 批号</t>
    <phoneticPr fontId="1" type="noConversion"/>
  </si>
  <si>
    <t>目标 SKU</t>
    <phoneticPr fontId="1" type="noConversion"/>
  </si>
  <si>
    <t>使用的原料 Lot</t>
    <phoneticPr fontId="1" type="noConversion"/>
  </si>
  <si>
    <t>投料日期</t>
    <phoneticPr fontId="1" type="noConversion"/>
  </si>
  <si>
    <t>预计完工日</t>
    <phoneticPr fontId="1" type="noConversion"/>
  </si>
  <si>
    <t>投料数量 (kg)</t>
    <phoneticPr fontId="1" type="noConversion"/>
  </si>
  <si>
    <t>预计产出 (单位数)</t>
    <phoneticPr fontId="1" type="noConversion"/>
  </si>
  <si>
    <t>当前阶段</t>
    <phoneticPr fontId="1" type="noConversion"/>
  </si>
  <si>
    <t>成品层库存 (Finished Goods Inventory)</t>
    <phoneticPr fontId="1" type="noConversion"/>
  </si>
  <si>
    <t>按生产批号管理 — 每个成品批次独立追踪效期到客户</t>
    <phoneticPr fontId="1" type="noConversion"/>
  </si>
  <si>
    <t>成品批号</t>
    <phoneticPr fontId="1" type="noConversion"/>
  </si>
  <si>
    <t>来源 WIP 批号</t>
    <phoneticPr fontId="1" type="noConversion"/>
  </si>
  <si>
    <t>生产日期</t>
    <phoneticPr fontId="1" type="noConversion"/>
  </si>
  <si>
    <t>入库数量</t>
    <phoneticPr fontId="1" type="noConversion"/>
  </si>
  <si>
    <t>当前数量</t>
    <phoneticPr fontId="1" type="noConversion"/>
  </si>
  <si>
    <t>库存价值 (NZD)</t>
    <phoneticPr fontId="1" type="noConversion"/>
  </si>
  <si>
    <t>临期预警与损失估算 (Expiry Alert &amp; Loss Estimation)</t>
    <phoneticPr fontId="1" type="noConversion"/>
  </si>
  <si>
    <t>90/60/30 天三色预警 — 自动识别临期库存与潜在损失</t>
    <phoneticPr fontId="1" type="noConversion"/>
  </si>
  <si>
    <t>批号</t>
    <phoneticPr fontId="1" type="noConversion"/>
  </si>
  <si>
    <t>类型 (原料/WIP/成品)</t>
    <phoneticPr fontId="1" type="noConversion"/>
  </si>
  <si>
    <t>剩余天数</t>
    <phoneticPr fontId="1" type="noConversion"/>
  </si>
  <si>
    <t>预警等级</t>
    <phoneticPr fontId="1" type="noConversion"/>
  </si>
  <si>
    <t>当前库存价值 (NZD)</t>
    <phoneticPr fontId="1" type="noConversion"/>
  </si>
  <si>
    <t>处理建议</t>
    <phoneticPr fontId="1" type="noConversion"/>
  </si>
  <si>
    <t>批次追溯演示 (Batch Traceability Showcase)</t>
    <phoneticPr fontId="1" type="noConversion"/>
  </si>
  <si>
    <t>完整追溯链：原料 Lot → WIP 批号 → 成品批号 → 客户订单</t>
    <phoneticPr fontId="1" type="noConversion"/>
  </si>
  <si>
    <t>追溯起点</t>
    <phoneticPr fontId="1" type="noConversion"/>
  </si>
  <si>
    <t>客户订单号</t>
    <phoneticPr fontId="1" type="noConversion"/>
  </si>
  <si>
    <t>追溯响应时间</t>
    <phoneticPr fontId="1" type="noConversion"/>
  </si>
  <si>
    <t>高管视图 — Inventory Health Dashboard</t>
    <phoneticPr fontId="1" type="noConversion"/>
  </si>
  <si>
    <t>关键指标一目了然：库存价值、临期预警、周转率、批次追溯演示</t>
    <phoneticPr fontId="1" type="noConversion"/>
  </si>
  <si>
    <t>TN-SG-001</t>
  </si>
  <si>
    <t>Omega-3 1000mg Softgel</t>
  </si>
  <si>
    <t>软胶囊</t>
  </si>
  <si>
    <t>120 caps/bottle</t>
  </si>
  <si>
    <t>KiwiHealth SEA</t>
  </si>
  <si>
    <t>Southeast Asia</t>
  </si>
  <si>
    <t>TN-SG-002</t>
  </si>
  <si>
    <t>Omega-3 Premium 1500mg</t>
  </si>
  <si>
    <t>PureLife AU</t>
  </si>
  <si>
    <t>Australia</t>
  </si>
  <si>
    <t>TN-SG-003</t>
  </si>
  <si>
    <t>Krill Oil 500mg Softgel</t>
  </si>
  <si>
    <t>60 caps/bottle</t>
  </si>
  <si>
    <t>TN-SG-004</t>
  </si>
  <si>
    <t>CoQ10 100mg Softgel</t>
  </si>
  <si>
    <t>Bright Future CN</t>
  </si>
  <si>
    <t>China</t>
  </si>
  <si>
    <t>TN-SG-005</t>
  </si>
  <si>
    <t>CoQ10 Ubiquinol Premium</t>
  </si>
  <si>
    <t>VitalPath US</t>
  </si>
  <si>
    <t>USA</t>
  </si>
  <si>
    <t>TN-SG-006</t>
  </si>
  <si>
    <t>Vitamin D3 1000IU Softgel</t>
  </si>
  <si>
    <t>TN-SG-007</t>
  </si>
  <si>
    <t>Vitamin D3 5000IU Softgel</t>
  </si>
  <si>
    <t>30 caps/bottle</t>
  </si>
  <si>
    <t>TN-SG-008</t>
  </si>
  <si>
    <t>Vitamin E 400IU Softgel</t>
  </si>
  <si>
    <t>TN-SG-009</t>
  </si>
  <si>
    <t>Fish Oil + Vitamin D3 Combo</t>
  </si>
  <si>
    <t>TN-SG-010</t>
  </si>
  <si>
    <t>Shark Liver Oil Softgel</t>
  </si>
  <si>
    <t>TN-SG-011</t>
  </si>
  <si>
    <t>Evening Primrose Oil</t>
  </si>
  <si>
    <t>TN-SG-012</t>
  </si>
  <si>
    <t>Borage Oil 1000mg</t>
  </si>
  <si>
    <t>TN-SG-013</t>
  </si>
  <si>
    <t>Garlic Oil Odorless</t>
  </si>
  <si>
    <t>90 caps/bottle</t>
  </si>
  <si>
    <t>TN-SG-014</t>
  </si>
  <si>
    <t>Lecithin 1200mg Softgel</t>
  </si>
  <si>
    <t>TN-SG-015</t>
  </si>
  <si>
    <t>Vitamin A 10000IU</t>
  </si>
  <si>
    <t>TN-SG-016</t>
  </si>
  <si>
    <t>Vitamin K2 MK-7 100mcg</t>
  </si>
  <si>
    <t>TN-SG-017</t>
  </si>
  <si>
    <t>Astaxanthin 4mg Softgel</t>
  </si>
  <si>
    <t>TN-SG-018</t>
  </si>
  <si>
    <t>Lutein 20mg Softgel</t>
  </si>
  <si>
    <t>TN-SG-019</t>
  </si>
  <si>
    <t>Tocotrienol Complex</t>
  </si>
  <si>
    <t>TN-SG-020</t>
  </si>
  <si>
    <t>Salmon Oil Wild Caught</t>
  </si>
  <si>
    <t>TN-SG-021</t>
  </si>
  <si>
    <t>Sea Buckthorn Oil</t>
  </si>
  <si>
    <t>TN-SG-022</t>
  </si>
  <si>
    <t>Black Currant Seed Oil</t>
  </si>
  <si>
    <t>TN-HG-001</t>
  </si>
  <si>
    <t>Probiotic 30Bn CFU Capsule</t>
  </si>
  <si>
    <t>硬胶囊</t>
  </si>
  <si>
    <t>TN-HG-002</t>
  </si>
  <si>
    <t>Probiotic Multi-Strain 50Bn</t>
  </si>
  <si>
    <t>TN-HG-003</t>
  </si>
  <si>
    <t>Probiotic Kids Chewable</t>
  </si>
  <si>
    <t>TN-HG-004</t>
  </si>
  <si>
    <t>Glucosamine 1500mg Capsule</t>
  </si>
  <si>
    <t>TN-HG-005</t>
  </si>
  <si>
    <t>Glucosamine + Chondroitin</t>
  </si>
  <si>
    <t>TN-HG-006</t>
  </si>
  <si>
    <t>Glucosamine + Curcumin</t>
  </si>
  <si>
    <t>TN-HG-007</t>
  </si>
  <si>
    <t>Ginseng Extract 500mg</t>
  </si>
  <si>
    <t>TN-HG-008</t>
  </si>
  <si>
    <t>Echinacea Extract</t>
  </si>
  <si>
    <t>TN-HG-009</t>
  </si>
  <si>
    <t>Milk Thistle 250mg</t>
  </si>
  <si>
    <t>TN-HG-010</t>
  </si>
  <si>
    <t>Saw Palmetto Extract</t>
  </si>
  <si>
    <t>TN-HG-011</t>
  </si>
  <si>
    <t>Ginkgo Biloba 120mg</t>
  </si>
  <si>
    <t>TN-HG-012</t>
  </si>
  <si>
    <t>Turmeric + Black Pepper</t>
  </si>
  <si>
    <t>TN-HG-013</t>
  </si>
  <si>
    <t>Green Tea Extract EGCG</t>
  </si>
  <si>
    <t>TN-HG-014</t>
  </si>
  <si>
    <t>Garcinia Cambogia 1000mg</t>
  </si>
  <si>
    <t>TN-HG-015</t>
  </si>
  <si>
    <t>Resveratrol 500mg</t>
  </si>
  <si>
    <t>TN-HG-016</t>
  </si>
  <si>
    <t>Quercetin + Bromelain</t>
  </si>
  <si>
    <t>TN-HG-017</t>
  </si>
  <si>
    <t>Iron Bisglycinate 25mg</t>
  </si>
  <si>
    <t>TN-HG-018</t>
  </si>
  <si>
    <t>Magnesium Citrate 200mg</t>
  </si>
  <si>
    <t>TN-HG-019</t>
  </si>
  <si>
    <t>Zinc Picolinate 30mg</t>
  </si>
  <si>
    <t>TN-HG-020</t>
  </si>
  <si>
    <t>Selenium 200mcg</t>
  </si>
  <si>
    <t>TN-HG-021</t>
  </si>
  <si>
    <t>B-Complex Capsule</t>
  </si>
  <si>
    <t>TN-HG-022</t>
  </si>
  <si>
    <t>Cranberry Extract 500mg</t>
  </si>
  <si>
    <t>TN-HG-023</t>
  </si>
  <si>
    <t>Rhodiola Rosea Extract</t>
  </si>
  <si>
    <t>TN-HG-024</t>
  </si>
  <si>
    <t>Spirulina 500mg</t>
  </si>
  <si>
    <t>TN-TB-001</t>
  </si>
  <si>
    <t>Vitamin C 1000mg Tablet</t>
  </si>
  <si>
    <t>片剂</t>
  </si>
  <si>
    <t>100 tabs/bottle</t>
  </si>
  <si>
    <t>TN-TB-002</t>
  </si>
  <si>
    <t>Vitamin C + Zinc Effervescent</t>
  </si>
  <si>
    <t>30 tabs/bottle</t>
  </si>
  <si>
    <t>TN-TB-003</t>
  </si>
  <si>
    <t>Calcium 600mg + D3 Tablet</t>
  </si>
  <si>
    <t>TN-TB-004</t>
  </si>
  <si>
    <t>Calcium + Magnesium + Zinc</t>
  </si>
  <si>
    <t>60 tabs/bottle</t>
  </si>
  <si>
    <t>TN-TB-005</t>
  </si>
  <si>
    <t>Multivitamin Adult Daily</t>
  </si>
  <si>
    <t>TN-TB-006</t>
  </si>
  <si>
    <t>Multivitamin Women's</t>
  </si>
  <si>
    <t>TN-TB-007</t>
  </si>
  <si>
    <t>Multivitamin Men's 50+</t>
  </si>
  <si>
    <t>TN-TB-008</t>
  </si>
  <si>
    <t>Multivitamin Kids Chewable</t>
  </si>
  <si>
    <t>TN-TB-009</t>
  </si>
  <si>
    <t>Vitamin B12 1000mcg Sublingual</t>
  </si>
  <si>
    <t>TN-TB-010</t>
  </si>
  <si>
    <t>Folate 800mcg Tablet</t>
  </si>
  <si>
    <t>TN-TB-011</t>
  </si>
  <si>
    <t>Hair Skin Nails Complex</t>
  </si>
  <si>
    <t>TN-TB-012</t>
  </si>
  <si>
    <t>Joint Support Triple Action</t>
  </si>
  <si>
    <t>TN-TB-013</t>
  </si>
  <si>
    <t>Sleep Support Melatonin</t>
  </si>
  <si>
    <t>TN-TB-014</t>
  </si>
  <si>
    <t>Stress Relief Ashwagandha</t>
  </si>
  <si>
    <t>TN-TB-015</t>
  </si>
  <si>
    <t>Immune Boost Echinacea+</t>
  </si>
  <si>
    <t>TN-TB-016</t>
  </si>
  <si>
    <t>Eye Health Lutein Complex</t>
  </si>
  <si>
    <t>TN-TB-017</t>
  </si>
  <si>
    <t>Heart Health CoQ10 Complex</t>
  </si>
  <si>
    <t>TN-TB-018</t>
  </si>
  <si>
    <t>Liver Detox Milk Thistle Mix</t>
  </si>
  <si>
    <t>TN-PW-001</t>
  </si>
  <si>
    <t>WPI Whey Protein Vanilla 1kg</t>
  </si>
  <si>
    <t>粉剂</t>
  </si>
  <si>
    <t>1kg pouch</t>
  </si>
  <si>
    <t>TN-PW-002</t>
  </si>
  <si>
    <t>WPI Whey Protein Chocolate 1kg</t>
  </si>
  <si>
    <t>TN-PW-003</t>
  </si>
  <si>
    <t>WPC Whey Protein Vanilla 1kg</t>
  </si>
  <si>
    <t>TN-PW-004</t>
  </si>
  <si>
    <t>Whey Protein Berry 1kg</t>
  </si>
  <si>
    <t>TN-PW-005</t>
  </si>
  <si>
    <t>Plant Protein Vanilla 1kg</t>
  </si>
  <si>
    <t>TN-PW-006</t>
  </si>
  <si>
    <t>Collagen Peptides 250g</t>
  </si>
  <si>
    <t>250g jar</t>
  </si>
  <si>
    <t>TN-PW-007</t>
  </si>
  <si>
    <t>Marine Collagen Premium 250g</t>
  </si>
  <si>
    <t>TN-PW-008</t>
  </si>
  <si>
    <t>Manuka Honey Powder UMF10 200g</t>
  </si>
  <si>
    <t>200g jar</t>
  </si>
  <si>
    <t>TN-PW-009</t>
  </si>
  <si>
    <t>Manuka Honey Powder UMF15 200g</t>
  </si>
  <si>
    <t>TN-PW-010</t>
  </si>
  <si>
    <t>Manuka Honey Powder UMF20 200g</t>
  </si>
  <si>
    <t>TN-PW-011</t>
  </si>
  <si>
    <t>Greens Superfood Mix 300g</t>
  </si>
  <si>
    <t>300g pouch</t>
  </si>
  <si>
    <t>TN-PW-012</t>
  </si>
  <si>
    <t>Reds Superfood Mix 300g</t>
  </si>
  <si>
    <t>TN-PW-013</t>
  </si>
  <si>
    <t>Pre-Workout Citrus 400g</t>
  </si>
  <si>
    <t>400g pouch</t>
  </si>
  <si>
    <t>TN-PW-014</t>
  </si>
  <si>
    <t>BCAA Watermelon 300g</t>
  </si>
  <si>
    <t>TN-PW-015</t>
  </si>
  <si>
    <t>Creatine Monohydrate 500g</t>
  </si>
  <si>
    <t>500g pouch</t>
  </si>
  <si>
    <t>TN-PW-016</t>
  </si>
  <si>
    <t>Beetroot Powder Natural 200g</t>
  </si>
  <si>
    <t>LOT-P004-2605-018</t>
  </si>
  <si>
    <t>P004</t>
  </si>
  <si>
    <t>Westland Milk Proteins</t>
  </si>
  <si>
    <t>原料-乳清分离蛋白WPI</t>
  </si>
  <si>
    <t>正常</t>
  </si>
  <si>
    <t>LOT-P010-2605-042</t>
  </si>
  <si>
    <t>P010</t>
  </si>
  <si>
    <t>Sirio Pharma</t>
  </si>
  <si>
    <t>原料-葡萄糖胺</t>
  </si>
  <si>
    <t>LOT-P011-2605-047</t>
  </si>
  <si>
    <t>P011</t>
  </si>
  <si>
    <t>SeaDragon Ltd</t>
  </si>
  <si>
    <t>原料-鲨鱼肝油角鲨烯</t>
  </si>
  <si>
    <t>LOT-P002-2605-006</t>
  </si>
  <si>
    <t>P002</t>
  </si>
  <si>
    <t>Pacific Krill Co</t>
  </si>
  <si>
    <t>原料-磷虾油</t>
  </si>
  <si>
    <t>LOT-P009-2605-039</t>
  </si>
  <si>
    <t>P009</t>
  </si>
  <si>
    <t>DSM Nutritional Products</t>
  </si>
  <si>
    <t>原料-维生素D3</t>
  </si>
  <si>
    <t>LOT-P013-2605-056</t>
  </si>
  <si>
    <t>P013</t>
  </si>
  <si>
    <t>Tianjin Tianyao Pharma</t>
  </si>
  <si>
    <t>原料-矿物质钙镁锌</t>
  </si>
  <si>
    <t>LOT-P005-2604-022</t>
  </si>
  <si>
    <t>P005</t>
  </si>
  <si>
    <t>Comvita Manuka Honey</t>
  </si>
  <si>
    <t>原料-麦卢卡蜂蜜</t>
  </si>
  <si>
    <t>LOT-P002-2604-009</t>
  </si>
  <si>
    <t>LOT-P009-2604-041</t>
  </si>
  <si>
    <t>LOT-P003-2604-014</t>
  </si>
  <si>
    <t>P003</t>
  </si>
  <si>
    <t>Tatua Whey NZ</t>
  </si>
  <si>
    <t>原料-乳清蛋白WPC</t>
  </si>
  <si>
    <t>LOT-P006-2604-025</t>
  </si>
  <si>
    <t>P006</t>
  </si>
  <si>
    <t>Shanghai BioChem Ltd</t>
  </si>
  <si>
    <t>原料-维生素C</t>
  </si>
  <si>
    <t>LOT-P001-2604-003</t>
  </si>
  <si>
    <t>P001</t>
  </si>
  <si>
    <t>Omega Marine Oils Ltd</t>
  </si>
  <si>
    <t>原料-Omega鱼油</t>
  </si>
  <si>
    <t>LOT-P009-2604-040</t>
  </si>
  <si>
    <t>LOT-P002-2604-010</t>
  </si>
  <si>
    <t>LOT-P005-2604-024</t>
  </si>
  <si>
    <t>LOT-P007-2604-030</t>
  </si>
  <si>
    <t>P007</t>
  </si>
  <si>
    <t>Kaneka CoQ10</t>
  </si>
  <si>
    <t>原料-辅酶Q10</t>
  </si>
  <si>
    <t>LOT-P011-2604-052</t>
  </si>
  <si>
    <t>LOT-P011-2603-048</t>
  </si>
  <si>
    <t>LOT-P005-2603-021</t>
  </si>
  <si>
    <t>LOT-P002-2603-011</t>
  </si>
  <si>
    <t>LOT-P005-2603-019</t>
  </si>
  <si>
    <t>LOT-P011-2603-050</t>
  </si>
  <si>
    <t>LOT-P001-2603-004</t>
  </si>
  <si>
    <t>LOT-P003-2603-012</t>
  </si>
  <si>
    <t>LOT-P004-2603-016</t>
  </si>
  <si>
    <t>LOT-P010-2603-046</t>
  </si>
  <si>
    <t>LOT-P008-2603-036</t>
  </si>
  <si>
    <t>P008</t>
  </si>
  <si>
    <t>Chr. Hansen Probiotics</t>
  </si>
  <si>
    <t>原料-益生菌粉</t>
  </si>
  <si>
    <t>LOT-P007-2602-033</t>
  </si>
  <si>
    <t>LOT-P009-2602-038</t>
  </si>
  <si>
    <t>LOT-P006-2602-026</t>
  </si>
  <si>
    <t>LOT-P010-2602-044</t>
  </si>
  <si>
    <t>LOT-P001-2601-005</t>
  </si>
  <si>
    <t>LOT-P001-2601-002</t>
  </si>
  <si>
    <t>LOT-P012-2601-055</t>
  </si>
  <si>
    <t>P012</t>
  </si>
  <si>
    <t>Plant &amp; Food Research NZ</t>
  </si>
  <si>
    <t>原料-植物提取物</t>
  </si>
  <si>
    <t>LOT-P003-2601-013</t>
  </si>
  <si>
    <t>LOT-P011-2601-051</t>
  </si>
  <si>
    <t>LOT-P002-2512-007</t>
  </si>
  <si>
    <t>LOT-P010-2512-043</t>
  </si>
  <si>
    <t>LOT-P007-2512-029</t>
  </si>
  <si>
    <t>LOT-P007-2512-031</t>
  </si>
  <si>
    <t>LOT-P004-2511-017</t>
  </si>
  <si>
    <t>LOT-P012-2511-054</t>
  </si>
  <si>
    <t>LOT-P008-2508-035</t>
  </si>
  <si>
    <t>临期-黄</t>
  </si>
  <si>
    <t>LOT-P008-2505-037</t>
  </si>
  <si>
    <t>过期</t>
  </si>
  <si>
    <t>LOT-P003-2412-015</t>
  </si>
  <si>
    <t>临期-橙</t>
  </si>
  <si>
    <t>LOT-P001-2408-001</t>
  </si>
  <si>
    <t>已耗尽</t>
  </si>
  <si>
    <t>LOT-P012-2408-053</t>
  </si>
  <si>
    <t>LOT-P011-2407-049</t>
  </si>
  <si>
    <t>LOT-P005-2407-023</t>
  </si>
  <si>
    <t>LOT-P005-2406-020</t>
  </si>
  <si>
    <t>临期-红</t>
  </si>
  <si>
    <t>LOT-P007-2406-032</t>
  </si>
  <si>
    <t>LOT-P010-2405-045</t>
  </si>
  <si>
    <t>LOT-P007-2405-034</t>
  </si>
  <si>
    <t>LOT-P002-2405-008</t>
  </si>
  <si>
    <t>LOT-P013-2308-057</t>
  </si>
  <si>
    <t>LOT-P013-2308-058</t>
  </si>
  <si>
    <t>LOT-P006-2307-027</t>
  </si>
  <si>
    <t>LOT-P006-2306-028</t>
  </si>
  <si>
    <t>WIP-2605-023</t>
  </si>
  <si>
    <t>压片/灌装</t>
  </si>
  <si>
    <t>进行中</t>
  </si>
  <si>
    <t>WIP-2605-004</t>
  </si>
  <si>
    <t>QA检测</t>
  </si>
  <si>
    <t>WIP-2605-018</t>
  </si>
  <si>
    <t>包装</t>
  </si>
  <si>
    <t>即将完工</t>
  </si>
  <si>
    <t>WIP-2605-022</t>
  </si>
  <si>
    <t>称料</t>
  </si>
  <si>
    <t>WIP-2605-016</t>
  </si>
  <si>
    <t>完工待转</t>
  </si>
  <si>
    <t>WIP-2605-027</t>
  </si>
  <si>
    <t>WIP-2605-017</t>
  </si>
  <si>
    <t>WIP-2605-006</t>
  </si>
  <si>
    <t>WIP-2605-025</t>
  </si>
  <si>
    <t>WIP-2605-029</t>
  </si>
  <si>
    <t>WIP-2605-014</t>
  </si>
  <si>
    <t>WIP-2605-021</t>
  </si>
  <si>
    <t>已转成品</t>
  </si>
  <si>
    <t>WIP-2605-015</t>
  </si>
  <si>
    <t>WIP-2605-005</t>
  </si>
  <si>
    <t>WIP-2605-030</t>
  </si>
  <si>
    <t>投料混合</t>
  </si>
  <si>
    <t>WIP-2605-002</t>
  </si>
  <si>
    <t>WIP-2605-009</t>
  </si>
  <si>
    <t>WIP-2605-007</t>
  </si>
  <si>
    <t>WIP-2605-019</t>
  </si>
  <si>
    <t>WIP-2605-012</t>
  </si>
  <si>
    <t>WIP-2605-020</t>
  </si>
  <si>
    <t>WIP-2604-024</t>
  </si>
  <si>
    <t>WIP-2604-001</t>
  </si>
  <si>
    <t>WIP-2604-010</t>
  </si>
  <si>
    <t>WIP-2604-003</t>
  </si>
  <si>
    <t>WIP-2604-008</t>
  </si>
  <si>
    <t>WIP-2604-011</t>
  </si>
  <si>
    <t>WIP-2604-013</t>
  </si>
  <si>
    <t>WIP-2604-026</t>
  </si>
  <si>
    <t>WIP-2604-028</t>
  </si>
  <si>
    <t>FG-SG-260522-023</t>
  </si>
  <si>
    <t>WIP-LEGACY-900</t>
  </si>
  <si>
    <t>FG-SG-260522-031</t>
  </si>
  <si>
    <t>FG-HG-260522-089</t>
  </si>
  <si>
    <t>FG-SG-260522-118</t>
  </si>
  <si>
    <t>FG-PW-260520-097</t>
  </si>
  <si>
    <t>WIP-LEGACY-347</t>
  </si>
  <si>
    <t>FG-SG-260519-018</t>
  </si>
  <si>
    <t>FG-HG-260516-043</t>
  </si>
  <si>
    <t>WIP-LEGACY-212</t>
  </si>
  <si>
    <t>FG-SG-260515-034</t>
  </si>
  <si>
    <t>WIP-LEGACY-969</t>
  </si>
  <si>
    <t>FG-TB-260514-010</t>
  </si>
  <si>
    <t>WIP-LEGACY-447</t>
  </si>
  <si>
    <t>FG-PW-260512-108</t>
  </si>
  <si>
    <t>WIP-LEGACY-456</t>
  </si>
  <si>
    <t>FG-SG-260511-052</t>
  </si>
  <si>
    <t>WIP-LEGACY-671</t>
  </si>
  <si>
    <t>FG-PW-260511-054</t>
  </si>
  <si>
    <t>WIP-LEGACY-569</t>
  </si>
  <si>
    <t>FG-SG-260509-064</t>
  </si>
  <si>
    <t>WIP-LEGACY-594</t>
  </si>
  <si>
    <t>FG-SG-260508-111</t>
  </si>
  <si>
    <t>WIP-LEGACY-263</t>
  </si>
  <si>
    <t>FG-PW-260505-047</t>
  </si>
  <si>
    <t>WIP-LEGACY-481</t>
  </si>
  <si>
    <t>FG-TB-260505-074</t>
  </si>
  <si>
    <t>WIP-LEGACY-876</t>
  </si>
  <si>
    <t>FG-TB-260504-006</t>
  </si>
  <si>
    <t>WIP-LEGACY-169</t>
  </si>
  <si>
    <t>FG-SG-260503-013</t>
  </si>
  <si>
    <t>WIP-LEGACY-473</t>
  </si>
  <si>
    <t>FG-SG-260503-087</t>
  </si>
  <si>
    <t>WIP-LEGACY-146</t>
  </si>
  <si>
    <t>FG-SG-260501-029</t>
  </si>
  <si>
    <t>FG-PW-260501-036</t>
  </si>
  <si>
    <t>WIP-LEGACY-428</t>
  </si>
  <si>
    <t>FG-PW-260429-063</t>
  </si>
  <si>
    <t>WIP-LEGACY-102</t>
  </si>
  <si>
    <t>FG-TB-260428-038</t>
  </si>
  <si>
    <t>WIP-LEGACY-633</t>
  </si>
  <si>
    <t>FG-PW-260425-050</t>
  </si>
  <si>
    <t>WIP-LEGACY-836</t>
  </si>
  <si>
    <t>FG-HG-260424-019</t>
  </si>
  <si>
    <t>WIP-LEGACY-440</t>
  </si>
  <si>
    <t>FG-SG-260424-101</t>
  </si>
  <si>
    <t>FG-TB-260417-093</t>
  </si>
  <si>
    <t>WIP-LEGACY-207</t>
  </si>
  <si>
    <t>FG-SG-260416-003</t>
  </si>
  <si>
    <t>FG-SG-260415-084</t>
  </si>
  <si>
    <t>FG-HG-260413-073</t>
  </si>
  <si>
    <t>WIP-LEGACY-523</t>
  </si>
  <si>
    <t>FG-PW-260411-014</t>
  </si>
  <si>
    <t>WIP-LEGACY-636</t>
  </si>
  <si>
    <t>FG-TB-260411-055</t>
  </si>
  <si>
    <t>WIP-LEGACY-136</t>
  </si>
  <si>
    <t>FG-HG-260406-067</t>
  </si>
  <si>
    <t>WIP-LEGACY-866</t>
  </si>
  <si>
    <t>FG-PW-260405-095</t>
  </si>
  <si>
    <t>WIP-LEGACY-711</t>
  </si>
  <si>
    <t>FG-PW-260404-024</t>
  </si>
  <si>
    <t>WIP-LEGACY-296</t>
  </si>
  <si>
    <t>FG-HG-260404-083</t>
  </si>
  <si>
    <t>WIP-LEGACY-557</t>
  </si>
  <si>
    <t>FG-HG-260330-088</t>
  </si>
  <si>
    <t>WIP-LEGACY-750</t>
  </si>
  <si>
    <t>FG-HG-260328-027</t>
  </si>
  <si>
    <t>WIP-LEGACY-310</t>
  </si>
  <si>
    <t>FG-SG-260328-030</t>
  </si>
  <si>
    <t>WIP-LEGACY-142</t>
  </si>
  <si>
    <t>FG-SG-260326-099</t>
  </si>
  <si>
    <t>FG-PW-260325-056</t>
  </si>
  <si>
    <t>FG-PW-260319-028</t>
  </si>
  <si>
    <t>WIP-LEGACY-951</t>
  </si>
  <si>
    <t>FG-TB-260318-106</t>
  </si>
  <si>
    <t>WIP-LEGACY-404</t>
  </si>
  <si>
    <t>FG-HG-260317-115</t>
  </si>
  <si>
    <t>WIP-LEGACY-754</t>
  </si>
  <si>
    <t>FG-PW-260313-053</t>
  </si>
  <si>
    <t>WIP-LEGACY-796</t>
  </si>
  <si>
    <t>FG-SG-260313-057</t>
  </si>
  <si>
    <t>WIP-LEGACY-219</t>
  </si>
  <si>
    <t>FG-HG-260310-077</t>
  </si>
  <si>
    <t>WIP-LEGACY-326</t>
  </si>
  <si>
    <t>FG-PW-260225-102</t>
  </si>
  <si>
    <t>WIP-LEGACY-741</t>
  </si>
  <si>
    <t>FG-PW-260222-072</t>
  </si>
  <si>
    <t>WIP-LEGACY-988</t>
  </si>
  <si>
    <t>FG-TB-260220-119</t>
  </si>
  <si>
    <t>FG-SG-260219-059</t>
  </si>
  <si>
    <t>WIP-LEGACY-342</t>
  </si>
  <si>
    <t>FG-PW-260213-080</t>
  </si>
  <si>
    <t>WIP-LEGACY-777</t>
  </si>
  <si>
    <t>FG-PW-260211-110</t>
  </si>
  <si>
    <t>WIP-LEGACY-141</t>
  </si>
  <si>
    <t>FG-TB-260208-060</t>
  </si>
  <si>
    <t>WIP-LEGACY-298</t>
  </si>
  <si>
    <t>FG-SG-260129-041</t>
  </si>
  <si>
    <t>WIP-LEGACY-156</t>
  </si>
  <si>
    <t>FG-SG-251107-070</t>
  </si>
  <si>
    <t>WIP-LEGACY-705</t>
  </si>
  <si>
    <t>FG-PW-251101-079</t>
  </si>
  <si>
    <t>FG-PW-250925-049</t>
  </si>
  <si>
    <t>WIP-LEGACY-466</t>
  </si>
  <si>
    <t>FG-PW-250925-078</t>
  </si>
  <si>
    <t>FG-HG-250918-001</t>
  </si>
  <si>
    <t>WIP-LEGACY-677</t>
  </si>
  <si>
    <t>FG-TB-250715-085</t>
  </si>
  <si>
    <t>WIP-LEGACY-795</t>
  </si>
  <si>
    <t>FG-HG-250714-042</t>
  </si>
  <si>
    <t>WIP-LEGACY-325</t>
  </si>
  <si>
    <t>FG-PW-250627-008</t>
  </si>
  <si>
    <t>FG-TB-250524-071</t>
  </si>
  <si>
    <t>WIP-LEGACY-217</t>
  </si>
  <si>
    <t>FG-HG-250522-044</t>
  </si>
  <si>
    <t>WIP-LEGACY-497</t>
  </si>
  <si>
    <t>FG-HG-250513-035</t>
  </si>
  <si>
    <t>WIP-LEGACY-834</t>
  </si>
  <si>
    <t>FG-PW-250507-117</t>
  </si>
  <si>
    <t>WIP-LEGACY-457</t>
  </si>
  <si>
    <t>FG-PW-250321-114</t>
  </si>
  <si>
    <t>WIP-LEGACY-968</t>
  </si>
  <si>
    <t>FG-HG-250303-109</t>
  </si>
  <si>
    <t>WIP-LEGACY-840</t>
  </si>
  <si>
    <t>FG-SG-250223-082</t>
  </si>
  <si>
    <t>FG-SG-250223-112</t>
  </si>
  <si>
    <t>FG-PW-250130-045</t>
  </si>
  <si>
    <t>FG-SG-250129-032</t>
  </si>
  <si>
    <t>FG-HG-250121-081</t>
  </si>
  <si>
    <t>WIP-LEGACY-548</t>
  </si>
  <si>
    <t>FG-PW-250110-017</t>
  </si>
  <si>
    <t>FG-HG-250106-016</t>
  </si>
  <si>
    <t>WIP-LEGACY-656</t>
  </si>
  <si>
    <t>FG-SG-241229-098</t>
  </si>
  <si>
    <t>FG-PW-241220-051</t>
  </si>
  <si>
    <t>WIP-LEGACY-560</t>
  </si>
  <si>
    <t>FG-TB-241207-061</t>
  </si>
  <si>
    <t>WIP-LEGACY-503</t>
  </si>
  <si>
    <t>FG-HG-241104-068</t>
  </si>
  <si>
    <t>WIP-LEGACY-740</t>
  </si>
  <si>
    <t>FG-PW-241007-040</t>
  </si>
  <si>
    <t>FG-PW-241007-076</t>
  </si>
  <si>
    <t>FG-PW-241003-086</t>
  </si>
  <si>
    <t>FG-SG-240927-058</t>
  </si>
  <si>
    <t>WIP-LEGACY-817</t>
  </si>
  <si>
    <t>FG-HG-240926-090</t>
  </si>
  <si>
    <t>WIP-LEGACY-393</t>
  </si>
  <si>
    <t>FG-HG-240831-037</t>
  </si>
  <si>
    <t>FG-HG-240827-100</t>
  </si>
  <si>
    <t>WIP-LEGACY-713</t>
  </si>
  <si>
    <t>FG-TB-240823-116</t>
  </si>
  <si>
    <t>FG-HG-240822-091</t>
  </si>
  <si>
    <t>WIP-LEGACY-164</t>
  </si>
  <si>
    <t>FG-HG-240818-005</t>
  </si>
  <si>
    <t>WIP-LEGACY-782</t>
  </si>
  <si>
    <t>FG-HG-240814-096</t>
  </si>
  <si>
    <t>WIP-LEGACY-360</t>
  </si>
  <si>
    <t>FG-SG-240812-002</t>
  </si>
  <si>
    <t>FG-SG-240812-105</t>
  </si>
  <si>
    <t>WIP-LEGACY-869</t>
  </si>
  <si>
    <t>FG-PW-240811-069</t>
  </si>
  <si>
    <t>WIP-LEGACY-122</t>
  </si>
  <si>
    <t>FG-PW-240809-039</t>
  </si>
  <si>
    <t>WIP-LEGACY-189</t>
  </si>
  <si>
    <t>FG-PW-240807-025</t>
  </si>
  <si>
    <t>WIP-LEGACY-597</t>
  </si>
  <si>
    <t>FG-SG-240805-066</t>
  </si>
  <si>
    <t>WIP-LEGACY-253</t>
  </si>
  <si>
    <t>FG-SG-240730-026</t>
  </si>
  <si>
    <t>WIP-LEGACY-592</t>
  </si>
  <si>
    <t>FG-PW-240728-033</t>
  </si>
  <si>
    <t>WIP-LEGACY-236</t>
  </si>
  <si>
    <t>FG-HG-240714-120</t>
  </si>
  <si>
    <t>WIP-LEGACY-735</t>
  </si>
  <si>
    <t>FG-HG-240630-103</t>
  </si>
  <si>
    <t>WIP-LEGACY-415</t>
  </si>
  <si>
    <t>FG-SG-240626-046</t>
  </si>
  <si>
    <t>FG-TB-240613-020</t>
  </si>
  <si>
    <t>WIP-LEGACY-678</t>
  </si>
  <si>
    <t>FG-PW-240612-048</t>
  </si>
  <si>
    <t>WIP-LEGACY-500</t>
  </si>
  <si>
    <t>FG-SG-240610-062</t>
  </si>
  <si>
    <t>FG-HG-240606-004</t>
  </si>
  <si>
    <t>WIP-LEGACY-194</t>
  </si>
  <si>
    <t>FG-PW-240604-007</t>
  </si>
  <si>
    <t>FG-SG-240530-104</t>
  </si>
  <si>
    <t>WIP-LEGACY-465</t>
  </si>
  <si>
    <t>FG-SG-240526-113</t>
  </si>
  <si>
    <t>WIP-LEGACY-972</t>
  </si>
  <si>
    <t>FG-PW-240519-015</t>
  </si>
  <si>
    <t>WIP-LEGACY-650</t>
  </si>
  <si>
    <t>FG-TB-240426-009</t>
  </si>
  <si>
    <t>WIP-LEGACY-747</t>
  </si>
  <si>
    <t>FG-SG-240426-065</t>
  </si>
  <si>
    <t>FG-SG-240417-075</t>
  </si>
  <si>
    <t>WIP-LEGACY-960</t>
  </si>
  <si>
    <t>FG-SG-240412-011</t>
  </si>
  <si>
    <t>FG-SG-231214-107</t>
  </si>
  <si>
    <t>WIP-LEGACY-273</t>
  </si>
  <si>
    <t>FG-SG-230902-022</t>
  </si>
  <si>
    <t>WIP-LEGACY-654</t>
  </si>
  <si>
    <t>FG-TB-230801-021</t>
  </si>
  <si>
    <t>WIP-LEGACY-137</t>
  </si>
  <si>
    <t>FG-TB-230607-092</t>
  </si>
  <si>
    <t>WIP-LEGACY-973</t>
  </si>
  <si>
    <t>FG-TB-230527-094</t>
  </si>
  <si>
    <t>WIP-LEGACY-179</t>
  </si>
  <si>
    <t>FG-TB-230419-012</t>
  </si>
  <si>
    <t>WIP-LEGACY-875</t>
  </si>
  <si>
    <t>SKU 总数</t>
    <phoneticPr fontId="1" type="noConversion"/>
  </si>
  <si>
    <t>原料 Lot 数</t>
    <phoneticPr fontId="1" type="noConversion"/>
  </si>
  <si>
    <t>WIP 批次数</t>
    <phoneticPr fontId="1" type="noConversion"/>
  </si>
  <si>
    <t>成品批号数</t>
    <phoneticPr fontId="1" type="noConversion"/>
  </si>
  <si>
    <t>总库存价值 (NZD)</t>
    <phoneticPr fontId="1" type="noConversion"/>
  </si>
  <si>
    <t>已过期价值</t>
    <phoneticPr fontId="1" type="noConversion"/>
  </si>
  <si>
    <t>30 天临期价值</t>
    <phoneticPr fontId="1" type="noConversion"/>
  </si>
  <si>
    <t>60 天临期价值</t>
    <phoneticPr fontId="1" type="noConversion"/>
  </si>
  <si>
    <t>图表数据源：按剂型分布</t>
    <phoneticPr fontId="1" type="noConversion"/>
  </si>
  <si>
    <t>剂型</t>
    <phoneticPr fontId="1" type="noConversion"/>
  </si>
  <si>
    <t>SKU 数量</t>
    <phoneticPr fontId="1" type="noConversion"/>
  </si>
  <si>
    <t>软胶囊</t>
    <phoneticPr fontId="1" type="noConversion"/>
  </si>
  <si>
    <t>硬胶囊</t>
    <phoneticPr fontId="1" type="noConversion"/>
  </si>
  <si>
    <t>片剂</t>
    <phoneticPr fontId="1" type="noConversion"/>
  </si>
  <si>
    <t>粉剂</t>
    <phoneticPr fontId="1" type="noConversion"/>
  </si>
  <si>
    <t>图表数据源：按客户分布</t>
    <phoneticPr fontId="1" type="noConversion"/>
  </si>
  <si>
    <t>客户</t>
    <phoneticPr fontId="1" type="noConversion"/>
  </si>
  <si>
    <t>Bright Future CN</t>
    <phoneticPr fontId="1" type="noConversion"/>
  </si>
  <si>
    <t>PureLife AU</t>
    <phoneticPr fontId="1" type="noConversion"/>
  </si>
  <si>
    <t>VitalPath US</t>
    <phoneticPr fontId="1" type="noConversion"/>
  </si>
  <si>
    <t>KiwiHealth SEA</t>
    <phoneticPr fontId="1" type="noConversion"/>
  </si>
  <si>
    <t>Top 10 高风险批次 (按剩余天数升序)</t>
    <phoneticPr fontId="1" type="noConversion"/>
  </si>
  <si>
    <t>批号</t>
    <phoneticPr fontId="1" type="noConversion"/>
  </si>
  <si>
    <t>类型</t>
    <phoneticPr fontId="1" type="noConversion"/>
  </si>
  <si>
    <t>效期截止</t>
    <phoneticPr fontId="1" type="noConversion"/>
  </si>
  <si>
    <t>剩余天数</t>
    <phoneticPr fontId="1" type="noConversion"/>
  </si>
  <si>
    <t>预警等级</t>
    <phoneticPr fontId="1" type="noConversion"/>
  </si>
  <si>
    <t>库存价值 (NZD)</t>
    <phoneticPr fontId="1" type="noConversion"/>
  </si>
  <si>
    <t>处理建议</t>
    <phoneticPr fontId="1" type="noConversion"/>
  </si>
  <si>
    <t>SKU 编号</t>
    <phoneticPr fontId="1" type="noConversion"/>
  </si>
  <si>
    <t>批次追溯演示 (Batch Traceability Showcase)</t>
    <phoneticPr fontId="1" type="noConversion"/>
  </si>
  <si>
    <t>LOT-P001-2603-004</t>
    <phoneticPr fontId="1" type="noConversion"/>
  </si>
  <si>
    <t>输入任意成品批号，自动追溯完整生产链</t>
    <phoneticPr fontId="1" type="noConversion"/>
  </si>
  <si>
    <r>
      <rPr>
        <b/>
        <sz val="11"/>
        <color theme="1"/>
        <rFont val="Segoe UI Symbol"/>
        <family val="2"/>
      </rPr>
      <t>🔍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icrosoft YaHei"/>
        <family val="2"/>
        <charset val="134"/>
      </rPr>
      <t>输入成品批号</t>
    </r>
    <r>
      <rPr>
        <b/>
        <sz val="11"/>
        <color theme="1"/>
        <rFont val="Calibri"/>
        <family val="2"/>
      </rPr>
      <t>:</t>
    </r>
    <phoneticPr fontId="1" type="noConversion"/>
  </si>
  <si>
    <t>追溯环节</t>
    <phoneticPr fontId="1" type="noConversion"/>
  </si>
  <si>
    <t>标识符</t>
    <phoneticPr fontId="1" type="noConversion"/>
  </si>
  <si>
    <t>关键信息</t>
    <phoneticPr fontId="1" type="noConversion"/>
  </si>
  <si>
    <t>数量</t>
    <phoneticPr fontId="1" type="noConversion"/>
  </si>
  <si>
    <t>日期</t>
    <phoneticPr fontId="1" type="noConversion"/>
  </si>
  <si>
    <t>成品 (FG)</t>
    <phoneticPr fontId="1" type="noConversion"/>
  </si>
  <si>
    <t>← 来自 WIP 批号</t>
    <phoneticPr fontId="1" type="noConversion"/>
  </si>
  <si>
    <t>← 来自原料 Lot</t>
    <phoneticPr fontId="1" type="noConversion"/>
  </si>
  <si>
    <t>FG-SG-260522-031</t>
    <phoneticPr fontId="1" type="noConversion"/>
  </si>
  <si>
    <r>
      <t>试试这些批号</t>
    </r>
    <r>
      <rPr>
        <i/>
        <sz val="9"/>
        <color theme="0" tint="-0.499984740745262"/>
        <rFont val="Calibri"/>
        <family val="2"/>
      </rPr>
      <t>: FG-SG-260522-031 | FG-HG-260522-089 | FG-PW-260520-097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</si>
</sst>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#,##0.0"/>
    <numFmt numFmtId="179" formatCode="d/mm/yyyy;@"/>
    <numFmt numFmtId="180" formatCode="&quot;NZD &quot;#,##0"/>
    <numFmt numFmtId="188" formatCode="yyyy\-mm\-dd;@"/>
  </numFmts>
  <fonts count="3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"/>
      <family val="2"/>
      <charset val="134"/>
    </font>
    <font>
      <b/>
      <sz val="16"/>
      <color rgb="FF1F4E78"/>
      <name val="Microsoft YaHei"/>
      <family val="2"/>
      <charset val="134"/>
    </font>
    <font>
      <i/>
      <sz val="11"/>
      <color theme="0" tint="-0.499984740745262"/>
      <name val="Microsoft YaHei"/>
      <family val="2"/>
      <charset val="134"/>
    </font>
    <font>
      <b/>
      <sz val="14"/>
      <color rgb="FF1F4E78"/>
      <name val="Microsoft YaHei"/>
      <family val="2"/>
      <charset val="134"/>
    </font>
    <font>
      <sz val="16"/>
      <color theme="1"/>
      <name val="Microsoft YaHei"/>
      <family val="2"/>
      <charset val="134"/>
    </font>
    <font>
      <i/>
      <sz val="10"/>
      <color theme="0" tint="-0.499984740745262"/>
      <name val="Microsoft YaHei"/>
      <family val="2"/>
      <charset val="134"/>
    </font>
    <font>
      <b/>
      <sz val="12"/>
      <color theme="0"/>
      <name val="Microsoft YaHei"/>
      <family val="2"/>
      <charset val="134"/>
    </font>
    <font>
      <i/>
      <sz val="10"/>
      <color theme="1"/>
      <name val="Microsoft YaHei"/>
      <family val="2"/>
      <charset val="134"/>
    </font>
    <font>
      <sz val="12"/>
      <color theme="1"/>
      <name val="Microsoft YaHei"/>
      <family val="2"/>
      <charset val="134"/>
    </font>
    <font>
      <b/>
      <sz val="16"/>
      <color theme="0" tint="-0.499984740745262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color theme="0"/>
      <name val="Microsoft YaHei"/>
      <family val="2"/>
      <charset val="134"/>
    </font>
    <font>
      <b/>
      <sz val="11"/>
      <color theme="0"/>
      <name val="Microsoft YaHei"/>
      <family val="2"/>
      <charset val="134"/>
    </font>
    <font>
      <b/>
      <sz val="16"/>
      <color theme="1"/>
      <name val="Microsoft YaHei"/>
      <family val="2"/>
      <charset val="134"/>
    </font>
    <font>
      <b/>
      <sz val="28"/>
      <color rgb="FF1F4E78"/>
      <name val="Microsoft YaHei"/>
      <family val="2"/>
      <charset val="134"/>
    </font>
    <font>
      <sz val="16"/>
      <color rgb="FFC00000"/>
      <name val="Microsoft YaHei"/>
      <family val="2"/>
      <charset val="134"/>
    </font>
    <font>
      <b/>
      <sz val="11"/>
      <color rgb="FF1F4E78"/>
      <name val="Microsoft YaHei"/>
      <family val="2"/>
      <charset val="134"/>
    </font>
    <font>
      <b/>
      <sz val="12"/>
      <color rgb="FFC00000"/>
      <name val="Microsoft YaHei"/>
      <family val="2"/>
      <charset val="134"/>
    </font>
    <font>
      <b/>
      <sz val="12"/>
      <color rgb="FF00B050"/>
      <name val="Microsoft YaHei"/>
      <family val="2"/>
      <charset val="134"/>
    </font>
    <font>
      <sz val="9"/>
      <color theme="1"/>
      <name val="Microsoft YaHei"/>
      <family val="2"/>
      <charset val="134"/>
    </font>
    <font>
      <i/>
      <sz val="9"/>
      <color theme="1"/>
      <name val="Microsoft YaHei"/>
      <family val="2"/>
      <charset val="134"/>
    </font>
    <font>
      <i/>
      <sz val="9"/>
      <color theme="0" tint="-0.499984740745262"/>
      <name val="Microsoft YaHei"/>
      <family val="2"/>
      <charset val="134"/>
    </font>
    <font>
      <b/>
      <sz val="11"/>
      <color theme="1"/>
      <name val="Segoe UI Symbol"/>
      <family val="2"/>
    </font>
    <font>
      <b/>
      <sz val="11"/>
      <color theme="1"/>
      <name val="Calibri"/>
      <family val="2"/>
    </font>
    <font>
      <b/>
      <sz val="9"/>
      <color theme="1"/>
      <name val="Microsoft YaHei"/>
      <family val="2"/>
      <charset val="134"/>
    </font>
    <font>
      <i/>
      <sz val="9"/>
      <color theme="0" tint="-0.499984740745262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C00000"/>
      </patternFill>
    </fill>
    <fill>
      <patternFill patternType="solid">
        <fgColor rgb="FFF4B183"/>
      </patternFill>
    </fill>
    <fill>
      <patternFill patternType="solid">
        <fgColor rgb="FFD9D9D9"/>
      </patternFill>
    </fill>
    <fill>
      <patternFill patternType="solid">
        <fgColor rgb="FFF8CBAD"/>
      </patternFill>
    </fill>
    <fill>
      <patternFill patternType="solid">
        <fgColor rgb="FFBDD7EE"/>
      </patternFill>
    </fill>
    <fill>
      <patternFill patternType="solid">
        <fgColor rgb="FFC0000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0" applyFont="1"/>
    <xf numFmtId="0" fontId="8" fillId="2" borderId="0" xfId="0" applyFont="1" applyFill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15" fillId="2" borderId="0" xfId="0" applyFont="1" applyFill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left" vertical="center" wrapText="1"/>
    </xf>
    <xf numFmtId="0" fontId="7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179" fontId="2" fillId="0" borderId="0" xfId="0" applyNumberFormat="1" applyFont="1" applyAlignment="1">
      <alignment vertical="center"/>
    </xf>
    <xf numFmtId="179" fontId="8" fillId="2" borderId="0" xfId="0" applyNumberFormat="1" applyFont="1" applyFill="1" applyAlignment="1">
      <alignment horizontal="center" vertical="center"/>
    </xf>
    <xf numFmtId="179" fontId="2" fillId="0" borderId="0" xfId="0" applyNumberFormat="1" applyFont="1"/>
    <xf numFmtId="3" fontId="2" fillId="0" borderId="0" xfId="0" applyNumberFormat="1" applyFont="1" applyAlignment="1">
      <alignment vertical="center"/>
    </xf>
    <xf numFmtId="3" fontId="8" fillId="2" borderId="0" xfId="0" applyNumberFormat="1" applyFont="1" applyFill="1" applyAlignment="1">
      <alignment horizontal="center" vertical="center"/>
    </xf>
    <xf numFmtId="3" fontId="2" fillId="0" borderId="0" xfId="0" applyNumberFormat="1" applyFont="1"/>
    <xf numFmtId="180" fontId="2" fillId="0" borderId="0" xfId="0" applyNumberFormat="1" applyFont="1"/>
    <xf numFmtId="0" fontId="6" fillId="0" borderId="0" xfId="0" applyFont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80" fontId="6" fillId="16" borderId="0" xfId="0" applyNumberFormat="1" applyFont="1" applyFill="1" applyAlignment="1">
      <alignment horizontal="center" vertical="center"/>
    </xf>
    <xf numFmtId="180" fontId="19" fillId="17" borderId="0" xfId="0" applyNumberFormat="1" applyFont="1" applyFill="1" applyAlignment="1">
      <alignment horizontal="center" vertical="center"/>
    </xf>
    <xf numFmtId="180" fontId="6" fillId="18" borderId="0" xfId="0" applyNumberFormat="1" applyFont="1" applyFill="1" applyAlignment="1">
      <alignment horizontal="center" vertical="center"/>
    </xf>
    <xf numFmtId="180" fontId="6" fillId="19" borderId="0" xfId="0" applyNumberFormat="1" applyFont="1" applyFill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6" fillId="14" borderId="0" xfId="0" applyFont="1" applyFill="1" applyAlignment="1">
      <alignment horizontal="center" vertical="center" wrapText="1"/>
    </xf>
    <xf numFmtId="188" fontId="2" fillId="0" borderId="0" xfId="0" applyNumberFormat="1" applyFont="1"/>
    <xf numFmtId="0" fontId="20" fillId="0" borderId="0" xfId="0" applyFont="1" applyAlignment="1">
      <alignment wrapText="1"/>
    </xf>
    <xf numFmtId="0" fontId="16" fillId="0" borderId="0" xfId="0" applyFont="1" applyFill="1" applyAlignment="1">
      <alignment horizontal="center" vertical="center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vertical="center" wrapText="1"/>
    </xf>
    <xf numFmtId="0" fontId="12" fillId="0" borderId="0" xfId="0" applyFont="1" applyAlignment="1">
      <alignment horizontal="right" wrapText="1"/>
    </xf>
    <xf numFmtId="0" fontId="16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8" fillId="19" borderId="2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/>
    <xf numFmtId="0" fontId="25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/>
    </xf>
  </cellXfs>
  <cellStyles count="1">
    <cellStyle name="常规" xfId="0" builtinId="0"/>
  </cellStyles>
  <dxfs count="10">
    <dxf>
      <fill>
        <patternFill>
          <bgColor rgb="FFFFE69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8CBAD"/>
        </patternFill>
      </fill>
    </dxf>
    <dxf>
      <fill>
        <patternFill>
          <bgColor rgb="FFF4B183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rgb="FFF8CBAD"/>
        </patternFill>
      </fill>
    </dxf>
    <dxf>
      <font>
        <b/>
        <i val="0"/>
        <color theme="1"/>
      </font>
      <fill>
        <patternFill>
          <bgColor rgb="FFF4B183"/>
        </patternFill>
      </fill>
    </dxf>
    <dxf>
      <font>
        <color theme="1"/>
      </font>
      <fill>
        <patternFill>
          <bgColor rgb="FFFFE699"/>
        </patternFill>
      </fill>
    </dxf>
    <dxf>
      <font>
        <color theme="1"/>
      </font>
      <fill>
        <patternFill>
          <bgColor rgb="FFFFE699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1F4E78"/>
      <color rgb="FFFFF2CC"/>
      <color rgb="FFFFE699"/>
      <color rgb="FFF4B183"/>
      <color rgb="FFF8CBAD"/>
      <color rgb="FFC00000"/>
      <color rgb="FFFFC000"/>
      <color rgb="FF70AD47"/>
      <color rgb="FFFCE4D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按剂型分布的 SKU 数量</a:t>
            </a:r>
            <a:endParaRPr lang="zh-CN" altLang="en-US"/>
          </a:p>
        </c:rich>
      </c:tx>
      <c:layout>
        <c:manualLayout>
          <c:xMode val="edge"/>
          <c:yMode val="edge"/>
          <c:x val="0.36943089817700281"/>
          <c:y val="3.4188034188034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'07_Dashboard'!$B$13</c:f>
              <c:strCache>
                <c:ptCount val="1"/>
                <c:pt idx="0">
                  <c:v>SKU 数量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'07_Dashboard'!$A$14:$A$17</c:f>
              <c:strCache>
                <c:ptCount val="4"/>
                <c:pt idx="0">
                  <c:v>软胶囊</c:v>
                </c:pt>
                <c:pt idx="1">
                  <c:v>硬胶囊</c:v>
                </c:pt>
                <c:pt idx="2">
                  <c:v>片剂</c:v>
                </c:pt>
                <c:pt idx="3">
                  <c:v>粉剂</c:v>
                </c:pt>
              </c:strCache>
            </c:strRef>
          </c:cat>
          <c:val>
            <c:numRef>
              <c:f>'07_Dashboard'!$B$14:$B$17</c:f>
              <c:numCache>
                <c:formatCode>General</c:formatCode>
                <c:ptCount val="4"/>
                <c:pt idx="0">
                  <c:v>22</c:v>
                </c:pt>
                <c:pt idx="1">
                  <c:v>24</c:v>
                </c:pt>
                <c:pt idx="2">
                  <c:v>18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4-4F7C-B35D-FA3F99D5EC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4074784"/>
        <c:axId val="1604077184"/>
      </c:barChart>
      <c:catAx>
        <c:axId val="160407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4077184"/>
        <c:crosses val="autoZero"/>
        <c:auto val="1"/>
        <c:lblAlgn val="ctr"/>
        <c:lblOffset val="100"/>
        <c:noMultiLvlLbl val="0"/>
      </c:catAx>
      <c:valAx>
        <c:axId val="16040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407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按客户分布的 SKU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'07_Dashboard'!$K$13</c:f>
              <c:strCache>
                <c:ptCount val="1"/>
                <c:pt idx="0">
                  <c:v>SKU 数量</c:v>
                </c:pt>
              </c:strCache>
            </c:strRef>
          </c:tx>
          <c:dPt>
            <c:idx val="0"/>
            <c:bubble3D val="0"/>
            <c:spPr>
              <a:solidFill>
                <a:srgbClr val="1F4E7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58-43D3-8C7B-FA3CEEC92D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258-43D3-8C7B-FA3CEEC92D03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58-43D3-8C7B-FA3CEEC92D0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258-43D3-8C7B-FA3CEEC92D03}"/>
              </c:ext>
            </c:extLst>
          </c:dPt>
          <c:dLbls>
            <c:dLbl>
              <c:idx val="0"/>
              <c:layout>
                <c:manualLayout>
                  <c:x val="0.1040268456375839"/>
                  <c:y val="-2.72373540856031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58-43D3-8C7B-FA3CEEC92D03}"/>
                </c:ext>
              </c:extLst>
            </c:dLbl>
            <c:dLbl>
              <c:idx val="1"/>
              <c:layout>
                <c:manualLayout>
                  <c:x val="8.557046979865772E-2"/>
                  <c:y val="6.22568093385214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58-43D3-8C7B-FA3CEEC92D03}"/>
                </c:ext>
              </c:extLst>
            </c:dLbl>
            <c:dLbl>
              <c:idx val="2"/>
              <c:layout>
                <c:manualLayout>
                  <c:x val="-8.7248322147651006E-2"/>
                  <c:y val="4.28015564202333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58-43D3-8C7B-FA3CEEC92D03}"/>
                </c:ext>
              </c:extLst>
            </c:dLbl>
            <c:dLbl>
              <c:idx val="3"/>
              <c:layout>
                <c:manualLayout>
                  <c:x val="-6.5436241610738258E-2"/>
                  <c:y val="-4.28015564202334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58-43D3-8C7B-FA3CEEC92D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'07_Dashboard'!$J$14:$J$17</c:f>
              <c:strCache>
                <c:ptCount val="4"/>
                <c:pt idx="0">
                  <c:v>Bright Future CN</c:v>
                </c:pt>
                <c:pt idx="1">
                  <c:v>PureLife AU</c:v>
                </c:pt>
                <c:pt idx="2">
                  <c:v>VitalPath US</c:v>
                </c:pt>
                <c:pt idx="3">
                  <c:v>KiwiHealth SEA</c:v>
                </c:pt>
              </c:strCache>
            </c:strRef>
          </c:cat>
          <c:val>
            <c:numRef>
              <c:f>'07_Dashboard'!$K$14:$K$17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12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8-43D3-8C7B-FA3CEEC92D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11</xdr:row>
      <xdr:rowOff>6350</xdr:rowOff>
    </xdr:from>
    <xdr:to>
      <xdr:col>8</xdr:col>
      <xdr:colOff>0</xdr:colOff>
      <xdr:row>21</xdr:row>
      <xdr:rowOff>247650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3AD0CA-2A69-5FB9-CA6D-551CE147C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31750</xdr:colOff>
      <xdr:row>18</xdr:row>
      <xdr:rowOff>6350</xdr:rowOff>
    </xdr:from>
    <xdr:to>
      <xdr:col>15</xdr:col>
      <xdr:colOff>19050</xdr:colOff>
      <xdr:row>29</xdr:row>
      <xdr:rowOff>266700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9A29640-BE0E-31CC-0F14-3E5B72661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workbookViewId="0">
      <selection activeCell="O18" sqref="O18"/>
    </sheetView>
  </sheetViews>
  <sheetFormatPr defaultRowHeight="16.5"/>
  <cols>
    <col min="1" max="1" width="15.25" style="2" customWidth="1"/>
    <col min="2" max="6" width="8.6640625" style="2"/>
    <col min="7" max="7" width="32.6640625" style="2" customWidth="1"/>
    <col min="8" max="16384" width="8.6640625" style="2"/>
  </cols>
  <sheetData>
    <row r="1" spans="1:7" ht="32" customHeight="1">
      <c r="A1" s="39" t="s">
        <v>0</v>
      </c>
      <c r="B1" s="39"/>
      <c r="C1" s="39"/>
      <c r="D1" s="39"/>
      <c r="E1" s="39"/>
      <c r="F1" s="39"/>
      <c r="G1" s="39"/>
    </row>
    <row r="2" spans="1:7" ht="39" customHeight="1">
      <c r="A2" s="40" t="s">
        <v>1</v>
      </c>
      <c r="B2" s="40"/>
      <c r="C2" s="40"/>
      <c r="D2" s="40"/>
      <c r="E2" s="40"/>
      <c r="F2" s="40"/>
      <c r="G2" s="40"/>
    </row>
    <row r="4" spans="1:7" ht="32" customHeight="1">
      <c r="A4" s="3" t="s">
        <v>2</v>
      </c>
    </row>
    <row r="5" spans="1:7">
      <c r="A5" s="2" t="s">
        <v>3</v>
      </c>
    </row>
    <row r="6" spans="1:7">
      <c r="A6" s="2" t="s">
        <v>4</v>
      </c>
    </row>
    <row r="7" spans="1:7">
      <c r="A7" s="2" t="s">
        <v>5</v>
      </c>
    </row>
    <row r="8" spans="1:7">
      <c r="A8" s="2" t="s">
        <v>6</v>
      </c>
    </row>
    <row r="9" spans="1:7">
      <c r="A9" s="2" t="s">
        <v>7</v>
      </c>
    </row>
    <row r="10" spans="1:7">
      <c r="A10" s="2" t="s">
        <v>8</v>
      </c>
    </row>
    <row r="11" spans="1:7" ht="32" customHeight="1">
      <c r="A11" s="3" t="s">
        <v>9</v>
      </c>
    </row>
    <row r="12" spans="1:7" ht="16.5" customHeight="1">
      <c r="A12" s="2" t="s">
        <v>10</v>
      </c>
    </row>
    <row r="13" spans="1:7">
      <c r="A13" s="2" t="s">
        <v>11</v>
      </c>
    </row>
    <row r="14" spans="1:7">
      <c r="A14" s="2" t="s">
        <v>12</v>
      </c>
    </row>
    <row r="15" spans="1:7">
      <c r="A15" s="2" t="s">
        <v>13</v>
      </c>
    </row>
    <row r="16" spans="1:7">
      <c r="A16" s="2" t="s">
        <v>14</v>
      </c>
    </row>
    <row r="17" spans="1:1">
      <c r="A17" s="2" t="s">
        <v>15</v>
      </c>
    </row>
    <row r="19" spans="1:1" s="3" customFormat="1" ht="32" customHeight="1">
      <c r="A19" s="3" t="s">
        <v>16</v>
      </c>
    </row>
    <row r="20" spans="1:1">
      <c r="A20" s="2" t="s">
        <v>17</v>
      </c>
    </row>
    <row r="21" spans="1:1">
      <c r="A21" s="2" t="s">
        <v>18</v>
      </c>
    </row>
    <row r="22" spans="1:1">
      <c r="A22" s="2" t="s">
        <v>19</v>
      </c>
    </row>
    <row r="23" spans="1:1">
      <c r="A23" s="2" t="s">
        <v>20</v>
      </c>
    </row>
    <row r="24" spans="1:1">
      <c r="A24" s="2" t="s">
        <v>21</v>
      </c>
    </row>
    <row r="25" spans="1:1">
      <c r="A25" s="2" t="s">
        <v>22</v>
      </c>
    </row>
    <row r="26" spans="1:1">
      <c r="A26" s="2" t="s">
        <v>23</v>
      </c>
    </row>
  </sheetData>
  <mergeCells count="2">
    <mergeCell ref="A1:G1"/>
    <mergeCell ref="A2:G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53DE-C7DB-4F54-8865-B76C35CFF8EA}">
  <dimension ref="A1:K84"/>
  <sheetViews>
    <sheetView zoomScale="82" zoomScaleNormal="82" workbookViewId="0">
      <selection activeCell="B6" sqref="B6"/>
    </sheetView>
  </sheetViews>
  <sheetFormatPr defaultRowHeight="16.5"/>
  <cols>
    <col min="1" max="4" width="18.83203125" style="2" customWidth="1"/>
    <col min="5" max="5" width="18.83203125" style="11" customWidth="1"/>
    <col min="6" max="6" width="18.83203125" style="2" customWidth="1"/>
    <col min="7" max="11" width="18.83203125" style="11" customWidth="1"/>
    <col min="12" max="16384" width="8.6640625" style="2"/>
  </cols>
  <sheetData>
    <row r="1" spans="1:11" ht="32" customHeight="1">
      <c r="A1" s="39" t="s">
        <v>24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>
      <c r="A2" s="38" t="s">
        <v>25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ht="32" customHeight="1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</row>
    <row r="5" spans="1:11" ht="26.5" customHeight="1">
      <c r="A5" s="15" t="s">
        <v>82</v>
      </c>
      <c r="B5" s="16" t="s">
        <v>83</v>
      </c>
      <c r="C5" s="31" t="s">
        <v>84</v>
      </c>
      <c r="D5" s="15" t="s">
        <v>85</v>
      </c>
      <c r="E5" s="15" t="s">
        <v>86</v>
      </c>
      <c r="F5" s="15" t="s">
        <v>87</v>
      </c>
      <c r="G5" s="32">
        <v>0.18</v>
      </c>
      <c r="H5" s="32">
        <v>0.55000000000000004</v>
      </c>
      <c r="I5" s="15">
        <v>24</v>
      </c>
      <c r="J5" s="18">
        <v>5000</v>
      </c>
      <c r="K5" s="15">
        <v>35</v>
      </c>
    </row>
    <row r="6" spans="1:11" ht="26.5" customHeight="1">
      <c r="A6" s="15" t="s">
        <v>88</v>
      </c>
      <c r="B6" s="16" t="s">
        <v>89</v>
      </c>
      <c r="C6" s="31" t="s">
        <v>84</v>
      </c>
      <c r="D6" s="15" t="s">
        <v>85</v>
      </c>
      <c r="E6" s="15" t="s">
        <v>90</v>
      </c>
      <c r="F6" s="15" t="s">
        <v>91</v>
      </c>
      <c r="G6" s="32">
        <v>0.28000000000000003</v>
      </c>
      <c r="H6" s="32">
        <v>0.85</v>
      </c>
      <c r="I6" s="15">
        <v>24</v>
      </c>
      <c r="J6" s="18">
        <v>5000</v>
      </c>
      <c r="K6" s="15">
        <v>35</v>
      </c>
    </row>
    <row r="7" spans="1:11" ht="26.5" customHeight="1">
      <c r="A7" s="15" t="s">
        <v>92</v>
      </c>
      <c r="B7" s="16" t="s">
        <v>93</v>
      </c>
      <c r="C7" s="31" t="s">
        <v>84</v>
      </c>
      <c r="D7" s="15" t="s">
        <v>94</v>
      </c>
      <c r="E7" s="15" t="s">
        <v>86</v>
      </c>
      <c r="F7" s="15" t="s">
        <v>87</v>
      </c>
      <c r="G7" s="32">
        <v>0.42</v>
      </c>
      <c r="H7" s="32">
        <v>1.2</v>
      </c>
      <c r="I7" s="15">
        <v>24</v>
      </c>
      <c r="J7" s="18">
        <v>3000</v>
      </c>
      <c r="K7" s="15">
        <v>45</v>
      </c>
    </row>
    <row r="8" spans="1:11" ht="26.5" customHeight="1">
      <c r="A8" s="15" t="s">
        <v>95</v>
      </c>
      <c r="B8" s="16" t="s">
        <v>96</v>
      </c>
      <c r="C8" s="31" t="s">
        <v>84</v>
      </c>
      <c r="D8" s="15" t="s">
        <v>94</v>
      </c>
      <c r="E8" s="15" t="s">
        <v>97</v>
      </c>
      <c r="F8" s="15" t="s">
        <v>98</v>
      </c>
      <c r="G8" s="32">
        <v>0.32</v>
      </c>
      <c r="H8" s="32">
        <v>0.95</v>
      </c>
      <c r="I8" s="15">
        <v>24</v>
      </c>
      <c r="J8" s="18">
        <v>3000</v>
      </c>
      <c r="K8" s="15">
        <v>42</v>
      </c>
    </row>
    <row r="9" spans="1:11" ht="26.5" customHeight="1">
      <c r="A9" s="15" t="s">
        <v>99</v>
      </c>
      <c r="B9" s="16" t="s">
        <v>100</v>
      </c>
      <c r="C9" s="31" t="s">
        <v>84</v>
      </c>
      <c r="D9" s="15" t="s">
        <v>85</v>
      </c>
      <c r="E9" s="15" t="s">
        <v>101</v>
      </c>
      <c r="F9" s="15" t="s">
        <v>102</v>
      </c>
      <c r="G9" s="32">
        <v>0.55000000000000004</v>
      </c>
      <c r="H9" s="32">
        <v>1.65</v>
      </c>
      <c r="I9" s="15">
        <v>24</v>
      </c>
      <c r="J9" s="18">
        <v>3000</v>
      </c>
      <c r="K9" s="15">
        <v>42</v>
      </c>
    </row>
    <row r="10" spans="1:11" ht="26.5" customHeight="1">
      <c r="A10" s="15" t="s">
        <v>103</v>
      </c>
      <c r="B10" s="16" t="s">
        <v>104</v>
      </c>
      <c r="C10" s="31" t="s">
        <v>84</v>
      </c>
      <c r="D10" s="15" t="s">
        <v>94</v>
      </c>
      <c r="E10" s="15" t="s">
        <v>97</v>
      </c>
      <c r="F10" s="15" t="s">
        <v>98</v>
      </c>
      <c r="G10" s="32">
        <v>0.08</v>
      </c>
      <c r="H10" s="32">
        <v>0.28000000000000003</v>
      </c>
      <c r="I10" s="15">
        <v>36</v>
      </c>
      <c r="J10" s="18">
        <v>10000</v>
      </c>
      <c r="K10" s="15">
        <v>28</v>
      </c>
    </row>
    <row r="11" spans="1:11" ht="26.5" customHeight="1">
      <c r="A11" s="15" t="s">
        <v>105</v>
      </c>
      <c r="B11" s="16" t="s">
        <v>106</v>
      </c>
      <c r="C11" s="31" t="s">
        <v>84</v>
      </c>
      <c r="D11" s="15" t="s">
        <v>107</v>
      </c>
      <c r="E11" s="15" t="s">
        <v>86</v>
      </c>
      <c r="F11" s="15" t="s">
        <v>87</v>
      </c>
      <c r="G11" s="32">
        <v>0.12</v>
      </c>
      <c r="H11" s="32">
        <v>0.42</v>
      </c>
      <c r="I11" s="15">
        <v>36</v>
      </c>
      <c r="J11" s="18">
        <v>10000</v>
      </c>
      <c r="K11" s="15">
        <v>28</v>
      </c>
    </row>
    <row r="12" spans="1:11" ht="26.5" customHeight="1">
      <c r="A12" s="15" t="s">
        <v>108</v>
      </c>
      <c r="B12" s="16" t="s">
        <v>109</v>
      </c>
      <c r="C12" s="31" t="s">
        <v>84</v>
      </c>
      <c r="D12" s="15" t="s">
        <v>85</v>
      </c>
      <c r="E12" s="15" t="s">
        <v>90</v>
      </c>
      <c r="F12" s="15" t="s">
        <v>91</v>
      </c>
      <c r="G12" s="32">
        <v>0.09</v>
      </c>
      <c r="H12" s="32">
        <v>0.32</v>
      </c>
      <c r="I12" s="15">
        <v>24</v>
      </c>
      <c r="J12" s="18">
        <v>8000</v>
      </c>
      <c r="K12" s="15">
        <v>30</v>
      </c>
    </row>
    <row r="13" spans="1:11" ht="26.5" customHeight="1">
      <c r="A13" s="15" t="s">
        <v>110</v>
      </c>
      <c r="B13" s="16" t="s">
        <v>111</v>
      </c>
      <c r="C13" s="31" t="s">
        <v>84</v>
      </c>
      <c r="D13" s="15" t="s">
        <v>107</v>
      </c>
      <c r="E13" s="15" t="s">
        <v>97</v>
      </c>
      <c r="F13" s="15" t="s">
        <v>98</v>
      </c>
      <c r="G13" s="32">
        <v>0.21</v>
      </c>
      <c r="H13" s="32">
        <v>0.68</v>
      </c>
      <c r="I13" s="15">
        <v>24</v>
      </c>
      <c r="J13" s="18">
        <v>5000</v>
      </c>
      <c r="K13" s="15">
        <v>38</v>
      </c>
    </row>
    <row r="14" spans="1:11" ht="26.5" customHeight="1">
      <c r="A14" s="15" t="s">
        <v>112</v>
      </c>
      <c r="B14" s="16" t="s">
        <v>113</v>
      </c>
      <c r="C14" s="31" t="s">
        <v>84</v>
      </c>
      <c r="D14" s="15" t="s">
        <v>107</v>
      </c>
      <c r="E14" s="15" t="s">
        <v>97</v>
      </c>
      <c r="F14" s="15" t="s">
        <v>98</v>
      </c>
      <c r="G14" s="32">
        <v>0.38</v>
      </c>
      <c r="H14" s="32">
        <v>1.1000000000000001</v>
      </c>
      <c r="I14" s="15">
        <v>24</v>
      </c>
      <c r="J14" s="18">
        <v>3000</v>
      </c>
      <c r="K14" s="15">
        <v>40</v>
      </c>
    </row>
    <row r="15" spans="1:11" ht="26.5" customHeight="1">
      <c r="A15" s="15" t="s">
        <v>114</v>
      </c>
      <c r="B15" s="16" t="s">
        <v>115</v>
      </c>
      <c r="C15" s="31" t="s">
        <v>84</v>
      </c>
      <c r="D15" s="15" t="s">
        <v>94</v>
      </c>
      <c r="E15" s="15" t="s">
        <v>90</v>
      </c>
      <c r="F15" s="15" t="s">
        <v>91</v>
      </c>
      <c r="G15" s="32">
        <v>0.15</v>
      </c>
      <c r="H15" s="32">
        <v>0.48</v>
      </c>
      <c r="I15" s="15">
        <v>24</v>
      </c>
      <c r="J15" s="18">
        <v>6000</v>
      </c>
      <c r="K15" s="15">
        <v>32</v>
      </c>
    </row>
    <row r="16" spans="1:11" ht="26.5" customHeight="1">
      <c r="A16" s="15" t="s">
        <v>116</v>
      </c>
      <c r="B16" s="16" t="s">
        <v>117</v>
      </c>
      <c r="C16" s="31" t="s">
        <v>84</v>
      </c>
      <c r="D16" s="15" t="s">
        <v>107</v>
      </c>
      <c r="E16" s="15" t="s">
        <v>86</v>
      </c>
      <c r="F16" s="15" t="s">
        <v>87</v>
      </c>
      <c r="G16" s="32">
        <v>0.22</v>
      </c>
      <c r="H16" s="32">
        <v>0.72</v>
      </c>
      <c r="I16" s="15">
        <v>24</v>
      </c>
      <c r="J16" s="18">
        <v>5000</v>
      </c>
      <c r="K16" s="15">
        <v>32</v>
      </c>
    </row>
    <row r="17" spans="1:11" ht="26.5" customHeight="1">
      <c r="A17" s="15" t="s">
        <v>118</v>
      </c>
      <c r="B17" s="16" t="s">
        <v>119</v>
      </c>
      <c r="C17" s="31" t="s">
        <v>84</v>
      </c>
      <c r="D17" s="15" t="s">
        <v>120</v>
      </c>
      <c r="E17" s="15" t="s">
        <v>86</v>
      </c>
      <c r="F17" s="15" t="s">
        <v>87</v>
      </c>
      <c r="G17" s="32">
        <v>7.0000000000000007E-2</v>
      </c>
      <c r="H17" s="32">
        <v>0.25</v>
      </c>
      <c r="I17" s="15">
        <v>24</v>
      </c>
      <c r="J17" s="18">
        <v>8000</v>
      </c>
      <c r="K17" s="15">
        <v>28</v>
      </c>
    </row>
    <row r="18" spans="1:11" ht="26.5" customHeight="1">
      <c r="A18" s="15" t="s">
        <v>121</v>
      </c>
      <c r="B18" s="16" t="s">
        <v>122</v>
      </c>
      <c r="C18" s="31" t="s">
        <v>84</v>
      </c>
      <c r="D18" s="15" t="s">
        <v>94</v>
      </c>
      <c r="E18" s="15" t="s">
        <v>90</v>
      </c>
      <c r="F18" s="15" t="s">
        <v>91</v>
      </c>
      <c r="G18" s="32">
        <v>0.11</v>
      </c>
      <c r="H18" s="32">
        <v>0.38</v>
      </c>
      <c r="I18" s="15">
        <v>24</v>
      </c>
      <c r="J18" s="18">
        <v>6000</v>
      </c>
      <c r="K18" s="15">
        <v>28</v>
      </c>
    </row>
    <row r="19" spans="1:11" ht="26.5" customHeight="1">
      <c r="A19" s="15" t="s">
        <v>123</v>
      </c>
      <c r="B19" s="16" t="s">
        <v>124</v>
      </c>
      <c r="C19" s="31" t="s">
        <v>84</v>
      </c>
      <c r="D19" s="15" t="s">
        <v>120</v>
      </c>
      <c r="E19" s="15" t="s">
        <v>86</v>
      </c>
      <c r="F19" s="15" t="s">
        <v>87</v>
      </c>
      <c r="G19" s="32">
        <v>0.09</v>
      </c>
      <c r="H19" s="32">
        <v>0.32</v>
      </c>
      <c r="I19" s="15">
        <v>24</v>
      </c>
      <c r="J19" s="18">
        <v>8000</v>
      </c>
      <c r="K19" s="15">
        <v>30</v>
      </c>
    </row>
    <row r="20" spans="1:11" ht="26.5" customHeight="1">
      <c r="A20" s="15" t="s">
        <v>125</v>
      </c>
      <c r="B20" s="16" t="s">
        <v>126</v>
      </c>
      <c r="C20" s="31" t="s">
        <v>84</v>
      </c>
      <c r="D20" s="15" t="s">
        <v>107</v>
      </c>
      <c r="E20" s="15" t="s">
        <v>97</v>
      </c>
      <c r="F20" s="15" t="s">
        <v>98</v>
      </c>
      <c r="G20" s="32">
        <v>0.18</v>
      </c>
      <c r="H20" s="32">
        <v>0.62</v>
      </c>
      <c r="I20" s="15">
        <v>24</v>
      </c>
      <c r="J20" s="18">
        <v>5000</v>
      </c>
      <c r="K20" s="15">
        <v>35</v>
      </c>
    </row>
    <row r="21" spans="1:11" ht="26.5" customHeight="1">
      <c r="A21" s="15" t="s">
        <v>127</v>
      </c>
      <c r="B21" s="16" t="s">
        <v>128</v>
      </c>
      <c r="C21" s="31" t="s">
        <v>84</v>
      </c>
      <c r="D21" s="15" t="s">
        <v>85</v>
      </c>
      <c r="E21" s="15" t="s">
        <v>101</v>
      </c>
      <c r="F21" s="15" t="s">
        <v>102</v>
      </c>
      <c r="G21" s="32">
        <v>0.45</v>
      </c>
      <c r="H21" s="32">
        <v>1.35</v>
      </c>
      <c r="I21" s="15">
        <v>24</v>
      </c>
      <c r="J21" s="18">
        <v>3000</v>
      </c>
      <c r="K21" s="15">
        <v>42</v>
      </c>
    </row>
    <row r="22" spans="1:11" ht="26.5" customHeight="1">
      <c r="A22" s="15" t="s">
        <v>129</v>
      </c>
      <c r="B22" s="16" t="s">
        <v>130</v>
      </c>
      <c r="C22" s="31" t="s">
        <v>84</v>
      </c>
      <c r="D22" s="15" t="s">
        <v>85</v>
      </c>
      <c r="E22" s="15" t="s">
        <v>97</v>
      </c>
      <c r="F22" s="15" t="s">
        <v>98</v>
      </c>
      <c r="G22" s="32">
        <v>0.32</v>
      </c>
      <c r="H22" s="32">
        <v>0.98</v>
      </c>
      <c r="I22" s="15">
        <v>24</v>
      </c>
      <c r="J22" s="18">
        <v>4000</v>
      </c>
      <c r="K22" s="15">
        <v>38</v>
      </c>
    </row>
    <row r="23" spans="1:11" ht="26.5" customHeight="1">
      <c r="A23" s="15" t="s">
        <v>131</v>
      </c>
      <c r="B23" s="16" t="s">
        <v>132</v>
      </c>
      <c r="C23" s="31" t="s">
        <v>84</v>
      </c>
      <c r="D23" s="15" t="s">
        <v>120</v>
      </c>
      <c r="E23" s="15" t="s">
        <v>101</v>
      </c>
      <c r="F23" s="15" t="s">
        <v>102</v>
      </c>
      <c r="G23" s="32">
        <v>0.48</v>
      </c>
      <c r="H23" s="32">
        <v>1.45</v>
      </c>
      <c r="I23" s="15">
        <v>24</v>
      </c>
      <c r="J23" s="18">
        <v>3000</v>
      </c>
      <c r="K23" s="15">
        <v>42</v>
      </c>
    </row>
    <row r="24" spans="1:11" ht="26.5" customHeight="1">
      <c r="A24" s="15" t="s">
        <v>133</v>
      </c>
      <c r="B24" s="16" t="s">
        <v>134</v>
      </c>
      <c r="C24" s="31" t="s">
        <v>84</v>
      </c>
      <c r="D24" s="15" t="s">
        <v>94</v>
      </c>
      <c r="E24" s="15" t="s">
        <v>101</v>
      </c>
      <c r="F24" s="15" t="s">
        <v>102</v>
      </c>
      <c r="G24" s="32">
        <v>0.25</v>
      </c>
      <c r="H24" s="32">
        <v>0.78</v>
      </c>
      <c r="I24" s="15">
        <v>24</v>
      </c>
      <c r="J24" s="18">
        <v>5000</v>
      </c>
      <c r="K24" s="15">
        <v>38</v>
      </c>
    </row>
    <row r="25" spans="1:11" ht="26.5" customHeight="1">
      <c r="A25" s="15" t="s">
        <v>135</v>
      </c>
      <c r="B25" s="16" t="s">
        <v>136</v>
      </c>
      <c r="C25" s="31" t="s">
        <v>84</v>
      </c>
      <c r="D25" s="15" t="s">
        <v>107</v>
      </c>
      <c r="E25" s="15" t="s">
        <v>97</v>
      </c>
      <c r="F25" s="15" t="s">
        <v>98</v>
      </c>
      <c r="G25" s="32">
        <v>0.35</v>
      </c>
      <c r="H25" s="32">
        <v>1.05</v>
      </c>
      <c r="I25" s="15">
        <v>24</v>
      </c>
      <c r="J25" s="18">
        <v>3000</v>
      </c>
      <c r="K25" s="15">
        <v>40</v>
      </c>
    </row>
    <row r="26" spans="1:11" ht="26.5" customHeight="1">
      <c r="A26" s="15" t="s">
        <v>137</v>
      </c>
      <c r="B26" s="16" t="s">
        <v>138</v>
      </c>
      <c r="C26" s="31" t="s">
        <v>84</v>
      </c>
      <c r="D26" s="15" t="s">
        <v>107</v>
      </c>
      <c r="E26" s="15" t="s">
        <v>86</v>
      </c>
      <c r="F26" s="15" t="s">
        <v>87</v>
      </c>
      <c r="G26" s="32">
        <v>0.18</v>
      </c>
      <c r="H26" s="32">
        <v>0.57999999999999996</v>
      </c>
      <c r="I26" s="15">
        <v>24</v>
      </c>
      <c r="J26" s="18">
        <v>5000</v>
      </c>
      <c r="K26" s="15">
        <v>35</v>
      </c>
    </row>
    <row r="27" spans="1:11" ht="26.5" customHeight="1">
      <c r="A27" s="15" t="s">
        <v>139</v>
      </c>
      <c r="B27" s="16" t="s">
        <v>140</v>
      </c>
      <c r="C27" s="33" t="s">
        <v>141</v>
      </c>
      <c r="D27" s="15" t="s">
        <v>107</v>
      </c>
      <c r="E27" s="15" t="s">
        <v>101</v>
      </c>
      <c r="F27" s="15" t="s">
        <v>102</v>
      </c>
      <c r="G27" s="32">
        <v>0.42</v>
      </c>
      <c r="H27" s="32">
        <v>1.25</v>
      </c>
      <c r="I27" s="15">
        <v>18</v>
      </c>
      <c r="J27" s="18">
        <v>3000</v>
      </c>
      <c r="K27" s="15">
        <v>45</v>
      </c>
    </row>
    <row r="28" spans="1:11" ht="26.5" customHeight="1">
      <c r="A28" s="15" t="s">
        <v>142</v>
      </c>
      <c r="B28" s="16" t="s">
        <v>143</v>
      </c>
      <c r="C28" s="33" t="s">
        <v>141</v>
      </c>
      <c r="D28" s="15" t="s">
        <v>85</v>
      </c>
      <c r="E28" s="15" t="s">
        <v>97</v>
      </c>
      <c r="F28" s="15" t="s">
        <v>98</v>
      </c>
      <c r="G28" s="32">
        <v>0.65</v>
      </c>
      <c r="H28" s="32">
        <v>1.95</v>
      </c>
      <c r="I28" s="15">
        <v>18</v>
      </c>
      <c r="J28" s="18">
        <v>3000</v>
      </c>
      <c r="K28" s="15">
        <v>45</v>
      </c>
    </row>
    <row r="29" spans="1:11" ht="26.5" customHeight="1">
      <c r="A29" s="15" t="s">
        <v>144</v>
      </c>
      <c r="B29" s="16" t="s">
        <v>145</v>
      </c>
      <c r="C29" s="33" t="s">
        <v>141</v>
      </c>
      <c r="D29" s="15" t="s">
        <v>107</v>
      </c>
      <c r="E29" s="15" t="s">
        <v>97</v>
      </c>
      <c r="F29" s="15" t="s">
        <v>98</v>
      </c>
      <c r="G29" s="32">
        <v>0.38</v>
      </c>
      <c r="H29" s="32">
        <v>1.1499999999999999</v>
      </c>
      <c r="I29" s="15">
        <v>18</v>
      </c>
      <c r="J29" s="18">
        <v>3000</v>
      </c>
      <c r="K29" s="15">
        <v>45</v>
      </c>
    </row>
    <row r="30" spans="1:11" ht="26.5" customHeight="1">
      <c r="A30" s="15" t="s">
        <v>146</v>
      </c>
      <c r="B30" s="16" t="s">
        <v>147</v>
      </c>
      <c r="C30" s="33" t="s">
        <v>141</v>
      </c>
      <c r="D30" s="15" t="s">
        <v>94</v>
      </c>
      <c r="E30" s="15" t="s">
        <v>90</v>
      </c>
      <c r="F30" s="15" t="s">
        <v>91</v>
      </c>
      <c r="G30" s="32">
        <v>0.15</v>
      </c>
      <c r="H30" s="32">
        <v>0.48</v>
      </c>
      <c r="I30" s="15">
        <v>24</v>
      </c>
      <c r="J30" s="18">
        <v>5000</v>
      </c>
      <c r="K30" s="15">
        <v>35</v>
      </c>
    </row>
    <row r="31" spans="1:11" ht="26.5" customHeight="1">
      <c r="A31" s="15" t="s">
        <v>148</v>
      </c>
      <c r="B31" s="16" t="s">
        <v>149</v>
      </c>
      <c r="C31" s="33" t="s">
        <v>141</v>
      </c>
      <c r="D31" s="15" t="s">
        <v>107</v>
      </c>
      <c r="E31" s="15" t="s">
        <v>86</v>
      </c>
      <c r="F31" s="15" t="s">
        <v>87</v>
      </c>
      <c r="G31" s="32">
        <v>0.22</v>
      </c>
      <c r="H31" s="32">
        <v>0.68</v>
      </c>
      <c r="I31" s="15">
        <v>24</v>
      </c>
      <c r="J31" s="18">
        <v>5000</v>
      </c>
      <c r="K31" s="15">
        <v>35</v>
      </c>
    </row>
    <row r="32" spans="1:11" ht="26.5" customHeight="1">
      <c r="A32" s="15" t="s">
        <v>150</v>
      </c>
      <c r="B32" s="16" t="s">
        <v>151</v>
      </c>
      <c r="C32" s="33" t="s">
        <v>141</v>
      </c>
      <c r="D32" s="15" t="s">
        <v>85</v>
      </c>
      <c r="E32" s="15" t="s">
        <v>86</v>
      </c>
      <c r="F32" s="15" t="s">
        <v>87</v>
      </c>
      <c r="G32" s="32">
        <v>0.25</v>
      </c>
      <c r="H32" s="32">
        <v>0.78</v>
      </c>
      <c r="I32" s="15">
        <v>24</v>
      </c>
      <c r="J32" s="18">
        <v>5000</v>
      </c>
      <c r="K32" s="15">
        <v>35</v>
      </c>
    </row>
    <row r="33" spans="1:11" ht="26.5" customHeight="1">
      <c r="A33" s="15" t="s">
        <v>152</v>
      </c>
      <c r="B33" s="16" t="s">
        <v>153</v>
      </c>
      <c r="C33" s="33" t="s">
        <v>141</v>
      </c>
      <c r="D33" s="15" t="s">
        <v>85</v>
      </c>
      <c r="E33" s="15" t="s">
        <v>97</v>
      </c>
      <c r="F33" s="15" t="s">
        <v>98</v>
      </c>
      <c r="G33" s="32">
        <v>0.18</v>
      </c>
      <c r="H33" s="32">
        <v>0.57999999999999996</v>
      </c>
      <c r="I33" s="15">
        <v>24</v>
      </c>
      <c r="J33" s="18">
        <v>5000</v>
      </c>
      <c r="K33" s="15">
        <v>32</v>
      </c>
    </row>
    <row r="34" spans="1:11" ht="26.5" customHeight="1">
      <c r="A34" s="15" t="s">
        <v>154</v>
      </c>
      <c r="B34" s="16" t="s">
        <v>155</v>
      </c>
      <c r="C34" s="33" t="s">
        <v>141</v>
      </c>
      <c r="D34" s="15" t="s">
        <v>94</v>
      </c>
      <c r="E34" s="15" t="s">
        <v>101</v>
      </c>
      <c r="F34" s="15" t="s">
        <v>102</v>
      </c>
      <c r="G34" s="32">
        <v>0.12</v>
      </c>
      <c r="H34" s="32">
        <v>0.42</v>
      </c>
      <c r="I34" s="15">
        <v>24</v>
      </c>
      <c r="J34" s="18">
        <v>5000</v>
      </c>
      <c r="K34" s="15">
        <v>30</v>
      </c>
    </row>
    <row r="35" spans="1:11" ht="26.5" customHeight="1">
      <c r="A35" s="15" t="s">
        <v>156</v>
      </c>
      <c r="B35" s="16" t="s">
        <v>157</v>
      </c>
      <c r="C35" s="33" t="s">
        <v>141</v>
      </c>
      <c r="D35" s="15" t="s">
        <v>120</v>
      </c>
      <c r="E35" s="15" t="s">
        <v>97</v>
      </c>
      <c r="F35" s="15" t="s">
        <v>98</v>
      </c>
      <c r="G35" s="32">
        <v>0.16</v>
      </c>
      <c r="H35" s="32">
        <v>0.52</v>
      </c>
      <c r="I35" s="15">
        <v>24</v>
      </c>
      <c r="J35" s="18">
        <v>5000</v>
      </c>
      <c r="K35" s="15">
        <v>32</v>
      </c>
    </row>
    <row r="36" spans="1:11" ht="26.5" customHeight="1">
      <c r="A36" s="15" t="s">
        <v>158</v>
      </c>
      <c r="B36" s="16" t="s">
        <v>159</v>
      </c>
      <c r="C36" s="33" t="s">
        <v>141</v>
      </c>
      <c r="D36" s="15" t="s">
        <v>120</v>
      </c>
      <c r="E36" s="15" t="s">
        <v>101</v>
      </c>
      <c r="F36" s="15" t="s">
        <v>102</v>
      </c>
      <c r="G36" s="32">
        <v>0.2</v>
      </c>
      <c r="H36" s="32">
        <v>0.65</v>
      </c>
      <c r="I36" s="15">
        <v>24</v>
      </c>
      <c r="J36" s="18">
        <v>4000</v>
      </c>
      <c r="K36" s="15">
        <v>35</v>
      </c>
    </row>
    <row r="37" spans="1:11" ht="26.5" customHeight="1">
      <c r="A37" s="15" t="s">
        <v>160</v>
      </c>
      <c r="B37" s="16" t="s">
        <v>161</v>
      </c>
      <c r="C37" s="33" t="s">
        <v>141</v>
      </c>
      <c r="D37" s="15" t="s">
        <v>107</v>
      </c>
      <c r="E37" s="15" t="s">
        <v>86</v>
      </c>
      <c r="F37" s="15" t="s">
        <v>87</v>
      </c>
      <c r="G37" s="32">
        <v>0.14000000000000001</v>
      </c>
      <c r="H37" s="32">
        <v>0.45</v>
      </c>
      <c r="I37" s="15">
        <v>24</v>
      </c>
      <c r="J37" s="18">
        <v>5000</v>
      </c>
      <c r="K37" s="15">
        <v>32</v>
      </c>
    </row>
    <row r="38" spans="1:11" ht="26.5" customHeight="1">
      <c r="A38" s="15" t="s">
        <v>162</v>
      </c>
      <c r="B38" s="16" t="s">
        <v>163</v>
      </c>
      <c r="C38" s="33" t="s">
        <v>141</v>
      </c>
      <c r="D38" s="15" t="s">
        <v>107</v>
      </c>
      <c r="E38" s="15" t="s">
        <v>90</v>
      </c>
      <c r="F38" s="15" t="s">
        <v>91</v>
      </c>
      <c r="G38" s="32">
        <v>0.18</v>
      </c>
      <c r="H38" s="32">
        <v>0.57999999999999996</v>
      </c>
      <c r="I38" s="15">
        <v>24</v>
      </c>
      <c r="J38" s="18">
        <v>5000</v>
      </c>
      <c r="K38" s="15">
        <v>32</v>
      </c>
    </row>
    <row r="39" spans="1:11" ht="26.5" customHeight="1">
      <c r="A39" s="15" t="s">
        <v>164</v>
      </c>
      <c r="B39" s="16" t="s">
        <v>165</v>
      </c>
      <c r="C39" s="33" t="s">
        <v>141</v>
      </c>
      <c r="D39" s="15" t="s">
        <v>94</v>
      </c>
      <c r="E39" s="15" t="s">
        <v>97</v>
      </c>
      <c r="F39" s="15" t="s">
        <v>98</v>
      </c>
      <c r="G39" s="32">
        <v>0.15</v>
      </c>
      <c r="H39" s="32">
        <v>0.48</v>
      </c>
      <c r="I39" s="15">
        <v>24</v>
      </c>
      <c r="J39" s="18">
        <v>5000</v>
      </c>
      <c r="K39" s="15">
        <v>32</v>
      </c>
    </row>
    <row r="40" spans="1:11" ht="26.5" customHeight="1">
      <c r="A40" s="15" t="s">
        <v>166</v>
      </c>
      <c r="B40" s="16" t="s">
        <v>167</v>
      </c>
      <c r="C40" s="33" t="s">
        <v>141</v>
      </c>
      <c r="D40" s="15" t="s">
        <v>107</v>
      </c>
      <c r="E40" s="15" t="s">
        <v>97</v>
      </c>
      <c r="F40" s="15" t="s">
        <v>98</v>
      </c>
      <c r="G40" s="32">
        <v>0.16</v>
      </c>
      <c r="H40" s="32">
        <v>0.52</v>
      </c>
      <c r="I40" s="15">
        <v>24</v>
      </c>
      <c r="J40" s="18">
        <v>5000</v>
      </c>
      <c r="K40" s="15">
        <v>32</v>
      </c>
    </row>
    <row r="41" spans="1:11" ht="26.5" customHeight="1">
      <c r="A41" s="15" t="s">
        <v>168</v>
      </c>
      <c r="B41" s="16" t="s">
        <v>169</v>
      </c>
      <c r="C41" s="33" t="s">
        <v>141</v>
      </c>
      <c r="D41" s="15" t="s">
        <v>85</v>
      </c>
      <c r="E41" s="15" t="s">
        <v>86</v>
      </c>
      <c r="F41" s="15" t="s">
        <v>87</v>
      </c>
      <c r="G41" s="32">
        <v>0.32</v>
      </c>
      <c r="H41" s="32">
        <v>0.98</v>
      </c>
      <c r="I41" s="15">
        <v>24</v>
      </c>
      <c r="J41" s="18">
        <v>3000</v>
      </c>
      <c r="K41" s="15">
        <v>38</v>
      </c>
    </row>
    <row r="42" spans="1:11" ht="26.5" customHeight="1">
      <c r="A42" s="15" t="s">
        <v>170</v>
      </c>
      <c r="B42" s="16" t="s">
        <v>171</v>
      </c>
      <c r="C42" s="33" t="s">
        <v>141</v>
      </c>
      <c r="D42" s="15" t="s">
        <v>94</v>
      </c>
      <c r="E42" s="15" t="s">
        <v>90</v>
      </c>
      <c r="F42" s="15" t="s">
        <v>91</v>
      </c>
      <c r="G42" s="32">
        <v>0.22</v>
      </c>
      <c r="H42" s="32">
        <v>0.68</v>
      </c>
      <c r="I42" s="15">
        <v>24</v>
      </c>
      <c r="J42" s="18">
        <v>4000</v>
      </c>
      <c r="K42" s="15">
        <v>35</v>
      </c>
    </row>
    <row r="43" spans="1:11" ht="26.5" customHeight="1">
      <c r="A43" s="15" t="s">
        <v>172</v>
      </c>
      <c r="B43" s="16" t="s">
        <v>173</v>
      </c>
      <c r="C43" s="33" t="s">
        <v>141</v>
      </c>
      <c r="D43" s="15" t="s">
        <v>85</v>
      </c>
      <c r="E43" s="15" t="s">
        <v>90</v>
      </c>
      <c r="F43" s="15" t="s">
        <v>91</v>
      </c>
      <c r="G43" s="32">
        <v>0.1</v>
      </c>
      <c r="H43" s="32">
        <v>0.35</v>
      </c>
      <c r="I43" s="15">
        <v>24</v>
      </c>
      <c r="J43" s="18">
        <v>8000</v>
      </c>
      <c r="K43" s="15">
        <v>28</v>
      </c>
    </row>
    <row r="44" spans="1:11" ht="26.5" customHeight="1">
      <c r="A44" s="15" t="s">
        <v>174</v>
      </c>
      <c r="B44" s="16" t="s">
        <v>175</v>
      </c>
      <c r="C44" s="33" t="s">
        <v>141</v>
      </c>
      <c r="D44" s="15" t="s">
        <v>94</v>
      </c>
      <c r="E44" s="15" t="s">
        <v>86</v>
      </c>
      <c r="F44" s="15" t="s">
        <v>87</v>
      </c>
      <c r="G44" s="32">
        <v>0.09</v>
      </c>
      <c r="H44" s="32">
        <v>0.32</v>
      </c>
      <c r="I44" s="15">
        <v>24</v>
      </c>
      <c r="J44" s="18">
        <v>8000</v>
      </c>
      <c r="K44" s="15">
        <v>28</v>
      </c>
    </row>
    <row r="45" spans="1:11" ht="26.5" customHeight="1">
      <c r="A45" s="15" t="s">
        <v>176</v>
      </c>
      <c r="B45" s="16" t="s">
        <v>177</v>
      </c>
      <c r="C45" s="33" t="s">
        <v>141</v>
      </c>
      <c r="D45" s="15" t="s">
        <v>85</v>
      </c>
      <c r="E45" s="15" t="s">
        <v>97</v>
      </c>
      <c r="F45" s="15" t="s">
        <v>98</v>
      </c>
      <c r="G45" s="32">
        <v>0.08</v>
      </c>
      <c r="H45" s="32">
        <v>0.28000000000000003</v>
      </c>
      <c r="I45" s="15">
        <v>24</v>
      </c>
      <c r="J45" s="18">
        <v>8000</v>
      </c>
      <c r="K45" s="15">
        <v>28</v>
      </c>
    </row>
    <row r="46" spans="1:11" ht="26.5" customHeight="1">
      <c r="A46" s="15" t="s">
        <v>178</v>
      </c>
      <c r="B46" s="16" t="s">
        <v>179</v>
      </c>
      <c r="C46" s="33" t="s">
        <v>141</v>
      </c>
      <c r="D46" s="15" t="s">
        <v>85</v>
      </c>
      <c r="E46" s="15" t="s">
        <v>86</v>
      </c>
      <c r="F46" s="15" t="s">
        <v>87</v>
      </c>
      <c r="G46" s="32">
        <v>7.0000000000000007E-2</v>
      </c>
      <c r="H46" s="32">
        <v>0.25</v>
      </c>
      <c r="I46" s="15">
        <v>24</v>
      </c>
      <c r="J46" s="18">
        <v>8000</v>
      </c>
      <c r="K46" s="15">
        <v>28</v>
      </c>
    </row>
    <row r="47" spans="1:11" ht="26.5" customHeight="1">
      <c r="A47" s="15" t="s">
        <v>180</v>
      </c>
      <c r="B47" s="16" t="s">
        <v>181</v>
      </c>
      <c r="C47" s="33" t="s">
        <v>141</v>
      </c>
      <c r="D47" s="15" t="s">
        <v>94</v>
      </c>
      <c r="E47" s="15" t="s">
        <v>97</v>
      </c>
      <c r="F47" s="15" t="s">
        <v>98</v>
      </c>
      <c r="G47" s="32">
        <v>0.11</v>
      </c>
      <c r="H47" s="32">
        <v>0.38</v>
      </c>
      <c r="I47" s="15">
        <v>24</v>
      </c>
      <c r="J47" s="18">
        <v>6000</v>
      </c>
      <c r="K47" s="15">
        <v>30</v>
      </c>
    </row>
    <row r="48" spans="1:11" ht="26.5" customHeight="1">
      <c r="A48" s="15" t="s">
        <v>182</v>
      </c>
      <c r="B48" s="16" t="s">
        <v>183</v>
      </c>
      <c r="C48" s="33" t="s">
        <v>141</v>
      </c>
      <c r="D48" s="15" t="s">
        <v>120</v>
      </c>
      <c r="E48" s="15" t="s">
        <v>101</v>
      </c>
      <c r="F48" s="15" t="s">
        <v>102</v>
      </c>
      <c r="G48" s="32">
        <v>0.15</v>
      </c>
      <c r="H48" s="32">
        <v>0.48</v>
      </c>
      <c r="I48" s="15">
        <v>24</v>
      </c>
      <c r="J48" s="18">
        <v>5000</v>
      </c>
      <c r="K48" s="15">
        <v>32</v>
      </c>
    </row>
    <row r="49" spans="1:11" ht="26.5" customHeight="1">
      <c r="A49" s="15" t="s">
        <v>184</v>
      </c>
      <c r="B49" s="16" t="s">
        <v>185</v>
      </c>
      <c r="C49" s="33" t="s">
        <v>141</v>
      </c>
      <c r="D49" s="15" t="s">
        <v>107</v>
      </c>
      <c r="E49" s="15" t="s">
        <v>90</v>
      </c>
      <c r="F49" s="15" t="s">
        <v>91</v>
      </c>
      <c r="G49" s="32">
        <v>0.25</v>
      </c>
      <c r="H49" s="32">
        <v>0.78</v>
      </c>
      <c r="I49" s="15">
        <v>24</v>
      </c>
      <c r="J49" s="18">
        <v>4000</v>
      </c>
      <c r="K49" s="15">
        <v>38</v>
      </c>
    </row>
    <row r="50" spans="1:11" ht="26.5" customHeight="1">
      <c r="A50" s="15" t="s">
        <v>186</v>
      </c>
      <c r="B50" s="16" t="s">
        <v>187</v>
      </c>
      <c r="C50" s="33" t="s">
        <v>141</v>
      </c>
      <c r="D50" s="15" t="s">
        <v>94</v>
      </c>
      <c r="E50" s="15" t="s">
        <v>86</v>
      </c>
      <c r="F50" s="15" t="s">
        <v>87</v>
      </c>
      <c r="G50" s="32">
        <v>0.12</v>
      </c>
      <c r="H50" s="32">
        <v>0.42</v>
      </c>
      <c r="I50" s="15">
        <v>24</v>
      </c>
      <c r="J50" s="18">
        <v>5000</v>
      </c>
      <c r="K50" s="15">
        <v>30</v>
      </c>
    </row>
    <row r="51" spans="1:11" ht="26.5" customHeight="1">
      <c r="A51" s="15" t="s">
        <v>188</v>
      </c>
      <c r="B51" s="16" t="s">
        <v>189</v>
      </c>
      <c r="C51" s="34" t="s">
        <v>190</v>
      </c>
      <c r="D51" s="15" t="s">
        <v>191</v>
      </c>
      <c r="E51" s="15" t="s">
        <v>97</v>
      </c>
      <c r="F51" s="15" t="s">
        <v>98</v>
      </c>
      <c r="G51" s="32">
        <v>0.05</v>
      </c>
      <c r="H51" s="32">
        <v>0.18</v>
      </c>
      <c r="I51" s="15">
        <v>36</v>
      </c>
      <c r="J51" s="18">
        <v>10000</v>
      </c>
      <c r="K51" s="15">
        <v>25</v>
      </c>
    </row>
    <row r="52" spans="1:11" ht="26.5" customHeight="1">
      <c r="A52" s="15" t="s">
        <v>192</v>
      </c>
      <c r="B52" s="16" t="s">
        <v>193</v>
      </c>
      <c r="C52" s="34" t="s">
        <v>190</v>
      </c>
      <c r="D52" s="15" t="s">
        <v>194</v>
      </c>
      <c r="E52" s="15" t="s">
        <v>90</v>
      </c>
      <c r="F52" s="15" t="s">
        <v>91</v>
      </c>
      <c r="G52" s="32">
        <v>0.12</v>
      </c>
      <c r="H52" s="32">
        <v>0.42</v>
      </c>
      <c r="I52" s="15">
        <v>24</v>
      </c>
      <c r="J52" s="18">
        <v>6000</v>
      </c>
      <c r="K52" s="15">
        <v>30</v>
      </c>
    </row>
    <row r="53" spans="1:11" ht="26.5" customHeight="1">
      <c r="A53" s="15" t="s">
        <v>195</v>
      </c>
      <c r="B53" s="16" t="s">
        <v>196</v>
      </c>
      <c r="C53" s="34" t="s">
        <v>190</v>
      </c>
      <c r="D53" s="15" t="s">
        <v>194</v>
      </c>
      <c r="E53" s="15" t="s">
        <v>86</v>
      </c>
      <c r="F53" s="15" t="s">
        <v>87</v>
      </c>
      <c r="G53" s="32">
        <v>0.08</v>
      </c>
      <c r="H53" s="32">
        <v>0.28000000000000003</v>
      </c>
      <c r="I53" s="15">
        <v>36</v>
      </c>
      <c r="J53" s="18">
        <v>8000</v>
      </c>
      <c r="K53" s="15">
        <v>28</v>
      </c>
    </row>
    <row r="54" spans="1:11" ht="26.5" customHeight="1">
      <c r="A54" s="15" t="s">
        <v>197</v>
      </c>
      <c r="B54" s="16" t="s">
        <v>198</v>
      </c>
      <c r="C54" s="34" t="s">
        <v>190</v>
      </c>
      <c r="D54" s="15" t="s">
        <v>199</v>
      </c>
      <c r="E54" s="15" t="s">
        <v>97</v>
      </c>
      <c r="F54" s="15" t="s">
        <v>98</v>
      </c>
      <c r="G54" s="32">
        <v>0.1</v>
      </c>
      <c r="H54" s="32">
        <v>0.35</v>
      </c>
      <c r="I54" s="15">
        <v>36</v>
      </c>
      <c r="J54" s="18">
        <v>8000</v>
      </c>
      <c r="K54" s="15">
        <v>28</v>
      </c>
    </row>
    <row r="55" spans="1:11" ht="26.5" customHeight="1">
      <c r="A55" s="15" t="s">
        <v>200</v>
      </c>
      <c r="B55" s="16" t="s">
        <v>201</v>
      </c>
      <c r="C55" s="34" t="s">
        <v>190</v>
      </c>
      <c r="D55" s="15" t="s">
        <v>191</v>
      </c>
      <c r="E55" s="15" t="s">
        <v>101</v>
      </c>
      <c r="F55" s="15" t="s">
        <v>102</v>
      </c>
      <c r="G55" s="32">
        <v>0.15</v>
      </c>
      <c r="H55" s="32">
        <v>0.48</v>
      </c>
      <c r="I55" s="15">
        <v>24</v>
      </c>
      <c r="J55" s="18">
        <v>6000</v>
      </c>
      <c r="K55" s="15">
        <v>30</v>
      </c>
    </row>
    <row r="56" spans="1:11" ht="26.5" customHeight="1">
      <c r="A56" s="15" t="s">
        <v>202</v>
      </c>
      <c r="B56" s="16" t="s">
        <v>203</v>
      </c>
      <c r="C56" s="34" t="s">
        <v>190</v>
      </c>
      <c r="D56" s="15" t="s">
        <v>199</v>
      </c>
      <c r="E56" s="15" t="s">
        <v>86</v>
      </c>
      <c r="F56" s="15" t="s">
        <v>87</v>
      </c>
      <c r="G56" s="32">
        <v>0.18</v>
      </c>
      <c r="H56" s="32">
        <v>0.57999999999999996</v>
      </c>
      <c r="I56" s="15">
        <v>24</v>
      </c>
      <c r="J56" s="18">
        <v>5000</v>
      </c>
      <c r="K56" s="15">
        <v>32</v>
      </c>
    </row>
    <row r="57" spans="1:11" ht="26.5" customHeight="1">
      <c r="A57" s="15" t="s">
        <v>204</v>
      </c>
      <c r="B57" s="16" t="s">
        <v>205</v>
      </c>
      <c r="C57" s="34" t="s">
        <v>190</v>
      </c>
      <c r="D57" s="15" t="s">
        <v>194</v>
      </c>
      <c r="E57" s="15" t="s">
        <v>97</v>
      </c>
      <c r="F57" s="15" t="s">
        <v>98</v>
      </c>
      <c r="G57" s="32">
        <v>0.18</v>
      </c>
      <c r="H57" s="32">
        <v>0.57999999999999996</v>
      </c>
      <c r="I57" s="15">
        <v>24</v>
      </c>
      <c r="J57" s="18">
        <v>5000</v>
      </c>
      <c r="K57" s="15">
        <v>32</v>
      </c>
    </row>
    <row r="58" spans="1:11" ht="26.5" customHeight="1">
      <c r="A58" s="15" t="s">
        <v>206</v>
      </c>
      <c r="B58" s="16" t="s">
        <v>207</v>
      </c>
      <c r="C58" s="34" t="s">
        <v>190</v>
      </c>
      <c r="D58" s="15" t="s">
        <v>194</v>
      </c>
      <c r="E58" s="15" t="s">
        <v>90</v>
      </c>
      <c r="F58" s="15" t="s">
        <v>91</v>
      </c>
      <c r="G58" s="32">
        <v>0.2</v>
      </c>
      <c r="H58" s="32">
        <v>0.65</v>
      </c>
      <c r="I58" s="15">
        <v>24</v>
      </c>
      <c r="J58" s="18">
        <v>5000</v>
      </c>
      <c r="K58" s="15">
        <v>32</v>
      </c>
    </row>
    <row r="59" spans="1:11" ht="26.5" customHeight="1">
      <c r="A59" s="15" t="s">
        <v>208</v>
      </c>
      <c r="B59" s="16" t="s">
        <v>209</v>
      </c>
      <c r="C59" s="34" t="s">
        <v>190</v>
      </c>
      <c r="D59" s="15" t="s">
        <v>191</v>
      </c>
      <c r="E59" s="15" t="s">
        <v>90</v>
      </c>
      <c r="F59" s="15" t="s">
        <v>91</v>
      </c>
      <c r="G59" s="32">
        <v>0.09</v>
      </c>
      <c r="H59" s="32">
        <v>0.32</v>
      </c>
      <c r="I59" s="15">
        <v>24</v>
      </c>
      <c r="J59" s="18">
        <v>8000</v>
      </c>
      <c r="K59" s="15">
        <v>28</v>
      </c>
    </row>
    <row r="60" spans="1:11" ht="26.5" customHeight="1">
      <c r="A60" s="15" t="s">
        <v>210</v>
      </c>
      <c r="B60" s="16" t="s">
        <v>211</v>
      </c>
      <c r="C60" s="34" t="s">
        <v>190</v>
      </c>
      <c r="D60" s="15" t="s">
        <v>194</v>
      </c>
      <c r="E60" s="15" t="s">
        <v>101</v>
      </c>
      <c r="F60" s="15" t="s">
        <v>102</v>
      </c>
      <c r="G60" s="32">
        <v>7.0000000000000007E-2</v>
      </c>
      <c r="H60" s="32">
        <v>0.25</v>
      </c>
      <c r="I60" s="15">
        <v>24</v>
      </c>
      <c r="J60" s="18">
        <v>8000</v>
      </c>
      <c r="K60" s="15">
        <v>28</v>
      </c>
    </row>
    <row r="61" spans="1:11" ht="26.5" customHeight="1">
      <c r="A61" s="15" t="s">
        <v>212</v>
      </c>
      <c r="B61" s="16" t="s">
        <v>213</v>
      </c>
      <c r="C61" s="34" t="s">
        <v>190</v>
      </c>
      <c r="D61" s="15" t="s">
        <v>199</v>
      </c>
      <c r="E61" s="15" t="s">
        <v>86</v>
      </c>
      <c r="F61" s="15" t="s">
        <v>87</v>
      </c>
      <c r="G61" s="32">
        <v>0.22</v>
      </c>
      <c r="H61" s="32">
        <v>0.68</v>
      </c>
      <c r="I61" s="15">
        <v>24</v>
      </c>
      <c r="J61" s="18">
        <v>4000</v>
      </c>
      <c r="K61" s="15">
        <v>35</v>
      </c>
    </row>
    <row r="62" spans="1:11" ht="26.5" customHeight="1">
      <c r="A62" s="15" t="s">
        <v>214</v>
      </c>
      <c r="B62" s="16" t="s">
        <v>215</v>
      </c>
      <c r="C62" s="34" t="s">
        <v>190</v>
      </c>
      <c r="D62" s="15" t="s">
        <v>194</v>
      </c>
      <c r="E62" s="15" t="s">
        <v>86</v>
      </c>
      <c r="F62" s="15" t="s">
        <v>87</v>
      </c>
      <c r="G62" s="32">
        <v>0.28000000000000003</v>
      </c>
      <c r="H62" s="32">
        <v>0.85</v>
      </c>
      <c r="I62" s="15">
        <v>24</v>
      </c>
      <c r="J62" s="18">
        <v>4000</v>
      </c>
      <c r="K62" s="15">
        <v>35</v>
      </c>
    </row>
    <row r="63" spans="1:11" ht="26.5" customHeight="1">
      <c r="A63" s="15" t="s">
        <v>216</v>
      </c>
      <c r="B63" s="16" t="s">
        <v>217</v>
      </c>
      <c r="C63" s="34" t="s">
        <v>190</v>
      </c>
      <c r="D63" s="15" t="s">
        <v>191</v>
      </c>
      <c r="E63" s="15" t="s">
        <v>90</v>
      </c>
      <c r="F63" s="15" t="s">
        <v>91</v>
      </c>
      <c r="G63" s="32">
        <v>0.1</v>
      </c>
      <c r="H63" s="32">
        <v>0.35</v>
      </c>
      <c r="I63" s="15">
        <v>24</v>
      </c>
      <c r="J63" s="18">
        <v>6000</v>
      </c>
      <c r="K63" s="15">
        <v>30</v>
      </c>
    </row>
    <row r="64" spans="1:11" ht="26.5" customHeight="1">
      <c r="A64" s="15" t="s">
        <v>218</v>
      </c>
      <c r="B64" s="16" t="s">
        <v>219</v>
      </c>
      <c r="C64" s="34" t="s">
        <v>190</v>
      </c>
      <c r="D64" s="15" t="s">
        <v>199</v>
      </c>
      <c r="E64" s="15" t="s">
        <v>90</v>
      </c>
      <c r="F64" s="15" t="s">
        <v>91</v>
      </c>
      <c r="G64" s="32">
        <v>0.2</v>
      </c>
      <c r="H64" s="32">
        <v>0.65</v>
      </c>
      <c r="I64" s="15">
        <v>24</v>
      </c>
      <c r="J64" s="18">
        <v>5000</v>
      </c>
      <c r="K64" s="15">
        <v>32</v>
      </c>
    </row>
    <row r="65" spans="1:11" ht="26.5" customHeight="1">
      <c r="A65" s="15" t="s">
        <v>220</v>
      </c>
      <c r="B65" s="16" t="s">
        <v>221</v>
      </c>
      <c r="C65" s="34" t="s">
        <v>190</v>
      </c>
      <c r="D65" s="15" t="s">
        <v>191</v>
      </c>
      <c r="E65" s="15" t="s">
        <v>90</v>
      </c>
      <c r="F65" s="15" t="s">
        <v>91</v>
      </c>
      <c r="G65" s="32">
        <v>0.18</v>
      </c>
      <c r="H65" s="32">
        <v>0.57999999999999996</v>
      </c>
      <c r="I65" s="15">
        <v>24</v>
      </c>
      <c r="J65" s="18">
        <v>5000</v>
      </c>
      <c r="K65" s="15">
        <v>32</v>
      </c>
    </row>
    <row r="66" spans="1:11" ht="26.5" customHeight="1">
      <c r="A66" s="15" t="s">
        <v>222</v>
      </c>
      <c r="B66" s="16" t="s">
        <v>223</v>
      </c>
      <c r="C66" s="34" t="s">
        <v>190</v>
      </c>
      <c r="D66" s="15" t="s">
        <v>199</v>
      </c>
      <c r="E66" s="15" t="s">
        <v>90</v>
      </c>
      <c r="F66" s="15" t="s">
        <v>91</v>
      </c>
      <c r="G66" s="32">
        <v>0.32</v>
      </c>
      <c r="H66" s="32">
        <v>0.98</v>
      </c>
      <c r="I66" s="15">
        <v>24</v>
      </c>
      <c r="J66" s="18">
        <v>3000</v>
      </c>
      <c r="K66" s="15">
        <v>38</v>
      </c>
    </row>
    <row r="67" spans="1:11" ht="26.5" customHeight="1">
      <c r="A67" s="15" t="s">
        <v>224</v>
      </c>
      <c r="B67" s="16" t="s">
        <v>225</v>
      </c>
      <c r="C67" s="34" t="s">
        <v>190</v>
      </c>
      <c r="D67" s="15" t="s">
        <v>191</v>
      </c>
      <c r="E67" s="15" t="s">
        <v>90</v>
      </c>
      <c r="F67" s="15" t="s">
        <v>91</v>
      </c>
      <c r="G67" s="32">
        <v>0.35</v>
      </c>
      <c r="H67" s="32">
        <v>1.05</v>
      </c>
      <c r="I67" s="15">
        <v>24</v>
      </c>
      <c r="J67" s="18">
        <v>3000</v>
      </c>
      <c r="K67" s="15">
        <v>38</v>
      </c>
    </row>
    <row r="68" spans="1:11" ht="26.5" customHeight="1">
      <c r="A68" s="15" t="s">
        <v>226</v>
      </c>
      <c r="B68" s="16" t="s">
        <v>227</v>
      </c>
      <c r="C68" s="34" t="s">
        <v>190</v>
      </c>
      <c r="D68" s="15" t="s">
        <v>191</v>
      </c>
      <c r="E68" s="15" t="s">
        <v>90</v>
      </c>
      <c r="F68" s="15" t="s">
        <v>91</v>
      </c>
      <c r="G68" s="32">
        <v>0.22</v>
      </c>
      <c r="H68" s="32">
        <v>0.68</v>
      </c>
      <c r="I68" s="15">
        <v>24</v>
      </c>
      <c r="J68" s="18">
        <v>4000</v>
      </c>
      <c r="K68" s="15">
        <v>35</v>
      </c>
    </row>
    <row r="69" spans="1:11" ht="26.5" customHeight="1">
      <c r="A69" s="15" t="s">
        <v>228</v>
      </c>
      <c r="B69" s="16" t="s">
        <v>229</v>
      </c>
      <c r="C69" s="35" t="s">
        <v>230</v>
      </c>
      <c r="D69" s="15" t="s">
        <v>231</v>
      </c>
      <c r="E69" s="15" t="s">
        <v>90</v>
      </c>
      <c r="F69" s="15" t="s">
        <v>91</v>
      </c>
      <c r="G69" s="32">
        <v>8.5</v>
      </c>
      <c r="H69" s="32">
        <v>24</v>
      </c>
      <c r="I69" s="15">
        <v>18</v>
      </c>
      <c r="J69" s="18">
        <v>1000</v>
      </c>
      <c r="K69" s="15">
        <v>40</v>
      </c>
    </row>
    <row r="70" spans="1:11" ht="26.5" customHeight="1">
      <c r="A70" s="15" t="s">
        <v>232</v>
      </c>
      <c r="B70" s="16" t="s">
        <v>233</v>
      </c>
      <c r="C70" s="35" t="s">
        <v>230</v>
      </c>
      <c r="D70" s="15" t="s">
        <v>231</v>
      </c>
      <c r="E70" s="15" t="s">
        <v>86</v>
      </c>
      <c r="F70" s="15" t="s">
        <v>87</v>
      </c>
      <c r="G70" s="32">
        <v>8.5</v>
      </c>
      <c r="H70" s="32">
        <v>24</v>
      </c>
      <c r="I70" s="15">
        <v>18</v>
      </c>
      <c r="J70" s="18">
        <v>1000</v>
      </c>
      <c r="K70" s="15">
        <v>40</v>
      </c>
    </row>
    <row r="71" spans="1:11" ht="26.5" customHeight="1">
      <c r="A71" s="15" t="s">
        <v>234</v>
      </c>
      <c r="B71" s="16" t="s">
        <v>235</v>
      </c>
      <c r="C71" s="35" t="s">
        <v>230</v>
      </c>
      <c r="D71" s="15" t="s">
        <v>231</v>
      </c>
      <c r="E71" s="15" t="s">
        <v>86</v>
      </c>
      <c r="F71" s="15" t="s">
        <v>87</v>
      </c>
      <c r="G71" s="32">
        <v>6.8</v>
      </c>
      <c r="H71" s="32">
        <v>19</v>
      </c>
      <c r="I71" s="15">
        <v>18</v>
      </c>
      <c r="J71" s="18">
        <v>1000</v>
      </c>
      <c r="K71" s="15">
        <v>40</v>
      </c>
    </row>
    <row r="72" spans="1:11" ht="26.5" customHeight="1">
      <c r="A72" s="15" t="s">
        <v>236</v>
      </c>
      <c r="B72" s="16" t="s">
        <v>237</v>
      </c>
      <c r="C72" s="35" t="s">
        <v>230</v>
      </c>
      <c r="D72" s="15" t="s">
        <v>231</v>
      </c>
      <c r="E72" s="15" t="s">
        <v>97</v>
      </c>
      <c r="F72" s="15" t="s">
        <v>98</v>
      </c>
      <c r="G72" s="32">
        <v>8.8000000000000007</v>
      </c>
      <c r="H72" s="32">
        <v>24.5</v>
      </c>
      <c r="I72" s="15">
        <v>18</v>
      </c>
      <c r="J72" s="18">
        <v>1000</v>
      </c>
      <c r="K72" s="15">
        <v>40</v>
      </c>
    </row>
    <row r="73" spans="1:11" ht="26.5" customHeight="1">
      <c r="A73" s="15" t="s">
        <v>238</v>
      </c>
      <c r="B73" s="16" t="s">
        <v>239</v>
      </c>
      <c r="C73" s="35" t="s">
        <v>230</v>
      </c>
      <c r="D73" s="15" t="s">
        <v>231</v>
      </c>
      <c r="E73" s="15" t="s">
        <v>97</v>
      </c>
      <c r="F73" s="15" t="s">
        <v>98</v>
      </c>
      <c r="G73" s="32">
        <v>7.5</v>
      </c>
      <c r="H73" s="32">
        <v>21</v>
      </c>
      <c r="I73" s="15">
        <v>18</v>
      </c>
      <c r="J73" s="18">
        <v>1000</v>
      </c>
      <c r="K73" s="15">
        <v>38</v>
      </c>
    </row>
    <row r="74" spans="1:11" ht="26.5" customHeight="1">
      <c r="A74" s="15" t="s">
        <v>240</v>
      </c>
      <c r="B74" s="16" t="s">
        <v>241</v>
      </c>
      <c r="C74" s="35" t="s">
        <v>230</v>
      </c>
      <c r="D74" s="15" t="s">
        <v>242</v>
      </c>
      <c r="E74" s="15" t="s">
        <v>90</v>
      </c>
      <c r="F74" s="15" t="s">
        <v>91</v>
      </c>
      <c r="G74" s="32">
        <v>4.2</v>
      </c>
      <c r="H74" s="32">
        <v>12.5</v>
      </c>
      <c r="I74" s="15">
        <v>24</v>
      </c>
      <c r="J74" s="18">
        <v>1500</v>
      </c>
      <c r="K74" s="15">
        <v>35</v>
      </c>
    </row>
    <row r="75" spans="1:11" ht="26.5" customHeight="1">
      <c r="A75" s="15" t="s">
        <v>243</v>
      </c>
      <c r="B75" s="16" t="s">
        <v>244</v>
      </c>
      <c r="C75" s="35" t="s">
        <v>230</v>
      </c>
      <c r="D75" s="15" t="s">
        <v>242</v>
      </c>
      <c r="E75" s="15" t="s">
        <v>101</v>
      </c>
      <c r="F75" s="15" t="s">
        <v>102</v>
      </c>
      <c r="G75" s="32">
        <v>6.8</v>
      </c>
      <c r="H75" s="32">
        <v>19.5</v>
      </c>
      <c r="I75" s="15">
        <v>24</v>
      </c>
      <c r="J75" s="18">
        <v>1000</v>
      </c>
      <c r="K75" s="15">
        <v>42</v>
      </c>
    </row>
    <row r="76" spans="1:11" ht="26.5" customHeight="1">
      <c r="A76" s="15" t="s">
        <v>245</v>
      </c>
      <c r="B76" s="16" t="s">
        <v>246</v>
      </c>
      <c r="C76" s="35" t="s">
        <v>230</v>
      </c>
      <c r="D76" s="15" t="s">
        <v>247</v>
      </c>
      <c r="E76" s="15" t="s">
        <v>86</v>
      </c>
      <c r="F76" s="15" t="s">
        <v>87</v>
      </c>
      <c r="G76" s="32">
        <v>8.5</v>
      </c>
      <c r="H76" s="32">
        <v>25</v>
      </c>
      <c r="I76" s="15">
        <v>24</v>
      </c>
      <c r="J76" s="18">
        <v>800</v>
      </c>
      <c r="K76" s="15">
        <v>30</v>
      </c>
    </row>
    <row r="77" spans="1:11" ht="26.5" customHeight="1">
      <c r="A77" s="15" t="s">
        <v>248</v>
      </c>
      <c r="B77" s="16" t="s">
        <v>249</v>
      </c>
      <c r="C77" s="35" t="s">
        <v>230</v>
      </c>
      <c r="D77" s="15" t="s">
        <v>247</v>
      </c>
      <c r="E77" s="15" t="s">
        <v>90</v>
      </c>
      <c r="F77" s="15" t="s">
        <v>91</v>
      </c>
      <c r="G77" s="32">
        <v>14</v>
      </c>
      <c r="H77" s="32">
        <v>42</v>
      </c>
      <c r="I77" s="15">
        <v>24</v>
      </c>
      <c r="J77" s="18">
        <v>600</v>
      </c>
      <c r="K77" s="15">
        <v>30</v>
      </c>
    </row>
    <row r="78" spans="1:11" ht="26.5" customHeight="1">
      <c r="A78" s="15" t="s">
        <v>250</v>
      </c>
      <c r="B78" s="16" t="s">
        <v>251</v>
      </c>
      <c r="C78" s="35" t="s">
        <v>230</v>
      </c>
      <c r="D78" s="15" t="s">
        <v>247</v>
      </c>
      <c r="E78" s="15" t="s">
        <v>90</v>
      </c>
      <c r="F78" s="15" t="s">
        <v>91</v>
      </c>
      <c r="G78" s="32">
        <v>22</v>
      </c>
      <c r="H78" s="32">
        <v>65</v>
      </c>
      <c r="I78" s="15">
        <v>24</v>
      </c>
      <c r="J78" s="18">
        <v>500</v>
      </c>
      <c r="K78" s="15">
        <v>30</v>
      </c>
    </row>
    <row r="79" spans="1:11" ht="26.5" customHeight="1">
      <c r="A79" s="15" t="s">
        <v>252</v>
      </c>
      <c r="B79" s="16" t="s">
        <v>253</v>
      </c>
      <c r="C79" s="35" t="s">
        <v>230</v>
      </c>
      <c r="D79" s="15" t="s">
        <v>254</v>
      </c>
      <c r="E79" s="15" t="s">
        <v>86</v>
      </c>
      <c r="F79" s="15" t="s">
        <v>87</v>
      </c>
      <c r="G79" s="32">
        <v>5.5</v>
      </c>
      <c r="H79" s="32">
        <v>16</v>
      </c>
      <c r="I79" s="15">
        <v>18</v>
      </c>
      <c r="J79" s="18">
        <v>1200</v>
      </c>
      <c r="K79" s="15">
        <v>35</v>
      </c>
    </row>
    <row r="80" spans="1:11" ht="26.5" customHeight="1">
      <c r="A80" s="15" t="s">
        <v>255</v>
      </c>
      <c r="B80" s="16" t="s">
        <v>256</v>
      </c>
      <c r="C80" s="35" t="s">
        <v>230</v>
      </c>
      <c r="D80" s="15" t="s">
        <v>254</v>
      </c>
      <c r="E80" s="15" t="s">
        <v>101</v>
      </c>
      <c r="F80" s="15" t="s">
        <v>102</v>
      </c>
      <c r="G80" s="32">
        <v>5.8</v>
      </c>
      <c r="H80" s="32">
        <v>17</v>
      </c>
      <c r="I80" s="15">
        <v>18</v>
      </c>
      <c r="J80" s="18">
        <v>1200</v>
      </c>
      <c r="K80" s="15">
        <v>35</v>
      </c>
    </row>
    <row r="81" spans="1:11" ht="26.5" customHeight="1">
      <c r="A81" s="15" t="s">
        <v>257</v>
      </c>
      <c r="B81" s="16" t="s">
        <v>258</v>
      </c>
      <c r="C81" s="35" t="s">
        <v>230</v>
      </c>
      <c r="D81" s="15" t="s">
        <v>259</v>
      </c>
      <c r="E81" s="15" t="s">
        <v>90</v>
      </c>
      <c r="F81" s="15" t="s">
        <v>91</v>
      </c>
      <c r="G81" s="32">
        <v>4.8</v>
      </c>
      <c r="H81" s="32">
        <v>14.5</v>
      </c>
      <c r="I81" s="15">
        <v>24</v>
      </c>
      <c r="J81" s="18">
        <v>1500</v>
      </c>
      <c r="K81" s="15">
        <v>35</v>
      </c>
    </row>
    <row r="82" spans="1:11" ht="26.5" customHeight="1">
      <c r="A82" s="15" t="s">
        <v>260</v>
      </c>
      <c r="B82" s="16" t="s">
        <v>261</v>
      </c>
      <c r="C82" s="35" t="s">
        <v>230</v>
      </c>
      <c r="D82" s="15" t="s">
        <v>254</v>
      </c>
      <c r="E82" s="15" t="s">
        <v>97</v>
      </c>
      <c r="F82" s="15" t="s">
        <v>98</v>
      </c>
      <c r="G82" s="32">
        <v>5.2</v>
      </c>
      <c r="H82" s="32">
        <v>15.5</v>
      </c>
      <c r="I82" s="15">
        <v>24</v>
      </c>
      <c r="J82" s="18">
        <v>1500</v>
      </c>
      <c r="K82" s="15">
        <v>35</v>
      </c>
    </row>
    <row r="83" spans="1:11" ht="26.5" customHeight="1">
      <c r="A83" s="15" t="s">
        <v>262</v>
      </c>
      <c r="B83" s="16" t="s">
        <v>263</v>
      </c>
      <c r="C83" s="35" t="s">
        <v>230</v>
      </c>
      <c r="D83" s="15" t="s">
        <v>264</v>
      </c>
      <c r="E83" s="15" t="s">
        <v>86</v>
      </c>
      <c r="F83" s="15" t="s">
        <v>87</v>
      </c>
      <c r="G83" s="32">
        <v>3.2</v>
      </c>
      <c r="H83" s="32">
        <v>9.5</v>
      </c>
      <c r="I83" s="15">
        <v>36</v>
      </c>
      <c r="J83" s="18">
        <v>2000</v>
      </c>
      <c r="K83" s="15">
        <v>32</v>
      </c>
    </row>
    <row r="84" spans="1:11" ht="26.5" customHeight="1">
      <c r="A84" s="15" t="s">
        <v>265</v>
      </c>
      <c r="B84" s="16" t="s">
        <v>266</v>
      </c>
      <c r="C84" s="35" t="s">
        <v>230</v>
      </c>
      <c r="D84" s="15" t="s">
        <v>247</v>
      </c>
      <c r="E84" s="15" t="s">
        <v>90</v>
      </c>
      <c r="F84" s="15" t="s">
        <v>91</v>
      </c>
      <c r="G84" s="32">
        <v>4.5</v>
      </c>
      <c r="H84" s="32">
        <v>13</v>
      </c>
      <c r="I84" s="15">
        <v>24</v>
      </c>
      <c r="J84" s="18">
        <v>1500</v>
      </c>
      <c r="K84" s="15">
        <v>35</v>
      </c>
    </row>
  </sheetData>
  <mergeCells count="2">
    <mergeCell ref="A1:K1"/>
    <mergeCell ref="A2:K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F843-F0B0-43FF-BB48-BBACC0EF27E1}">
  <dimension ref="A1:J62"/>
  <sheetViews>
    <sheetView tabSelected="1" topLeftCell="A4" zoomScaleNormal="100" workbookViewId="0">
      <selection activeCell="A4" sqref="A4:J4"/>
    </sheetView>
  </sheetViews>
  <sheetFormatPr defaultRowHeight="21.5"/>
  <cols>
    <col min="1" max="1" width="19.08203125" style="5" customWidth="1"/>
    <col min="2" max="2" width="13" style="5" customWidth="1"/>
    <col min="3" max="3" width="21.1640625" style="5" customWidth="1"/>
    <col min="4" max="4" width="20.08203125" style="5" customWidth="1"/>
    <col min="5" max="5" width="15.1640625" style="5" customWidth="1"/>
    <col min="6" max="6" width="12.25" style="13" customWidth="1"/>
    <col min="7" max="7" width="14.25" style="13" customWidth="1"/>
    <col min="8" max="8" width="15.5" style="13" customWidth="1"/>
    <col min="9" max="9" width="19.75" style="13" customWidth="1"/>
    <col min="10" max="16384" width="8.6640625" style="5"/>
  </cols>
  <sheetData>
    <row r="1" spans="1:10" ht="32" customHeight="1">
      <c r="A1" s="39" t="s">
        <v>37</v>
      </c>
      <c r="B1" s="39"/>
      <c r="C1" s="39"/>
      <c r="D1" s="39"/>
      <c r="E1" s="39"/>
      <c r="F1" s="39"/>
      <c r="G1" s="39"/>
      <c r="H1" s="39"/>
      <c r="I1" s="39"/>
      <c r="J1" s="39"/>
    </row>
    <row r="2" spans="1:10">
      <c r="A2" s="41" t="s">
        <v>38</v>
      </c>
      <c r="B2" s="42"/>
      <c r="C2" s="42"/>
      <c r="D2" s="42"/>
      <c r="E2" s="42"/>
      <c r="F2" s="42"/>
      <c r="G2" s="42"/>
      <c r="H2" s="42"/>
      <c r="I2" s="42"/>
      <c r="J2" s="42"/>
    </row>
    <row r="4" spans="1:10" s="7" customFormat="1" ht="32" customHeight="1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</row>
    <row r="5" spans="1:10">
      <c r="A5" s="15" t="s">
        <v>267</v>
      </c>
      <c r="B5" s="15" t="s">
        <v>268</v>
      </c>
      <c r="C5" s="16" t="s">
        <v>269</v>
      </c>
      <c r="D5" s="16" t="s">
        <v>270</v>
      </c>
      <c r="E5" s="17">
        <v>46156</v>
      </c>
      <c r="F5" s="17">
        <v>46696</v>
      </c>
      <c r="G5" s="28">
        <v>50</v>
      </c>
      <c r="H5" s="28">
        <v>49.1</v>
      </c>
      <c r="I5" s="29">
        <v>110</v>
      </c>
      <c r="J5" s="19" t="s">
        <v>271</v>
      </c>
    </row>
    <row r="6" spans="1:10">
      <c r="A6" s="15" t="s">
        <v>272</v>
      </c>
      <c r="B6" s="15" t="s">
        <v>273</v>
      </c>
      <c r="C6" s="16" t="s">
        <v>274</v>
      </c>
      <c r="D6" s="16" t="s">
        <v>275</v>
      </c>
      <c r="E6" s="17">
        <v>46156</v>
      </c>
      <c r="F6" s="17">
        <v>46876</v>
      </c>
      <c r="G6" s="28">
        <v>800</v>
      </c>
      <c r="H6" s="28">
        <v>787.8</v>
      </c>
      <c r="I6" s="29">
        <v>180</v>
      </c>
      <c r="J6" s="19" t="s">
        <v>271</v>
      </c>
    </row>
    <row r="7" spans="1:10">
      <c r="A7" s="15" t="s">
        <v>276</v>
      </c>
      <c r="B7" s="15" t="s">
        <v>277</v>
      </c>
      <c r="C7" s="16" t="s">
        <v>278</v>
      </c>
      <c r="D7" s="16" t="s">
        <v>279</v>
      </c>
      <c r="E7" s="17">
        <v>46156</v>
      </c>
      <c r="F7" s="17">
        <v>46876</v>
      </c>
      <c r="G7" s="28">
        <v>300</v>
      </c>
      <c r="H7" s="28">
        <v>295.7</v>
      </c>
      <c r="I7" s="29">
        <v>350</v>
      </c>
      <c r="J7" s="19" t="s">
        <v>271</v>
      </c>
    </row>
    <row r="8" spans="1:10">
      <c r="A8" s="15" t="s">
        <v>280</v>
      </c>
      <c r="B8" s="15" t="s">
        <v>281</v>
      </c>
      <c r="C8" s="16" t="s">
        <v>282</v>
      </c>
      <c r="D8" s="16" t="s">
        <v>283</v>
      </c>
      <c r="E8" s="17">
        <v>46155</v>
      </c>
      <c r="F8" s="17">
        <v>46875</v>
      </c>
      <c r="G8" s="28">
        <v>200</v>
      </c>
      <c r="H8" s="28">
        <v>196.8</v>
      </c>
      <c r="I8" s="29">
        <v>480</v>
      </c>
      <c r="J8" s="19" t="s">
        <v>271</v>
      </c>
    </row>
    <row r="9" spans="1:10">
      <c r="A9" s="15" t="s">
        <v>284</v>
      </c>
      <c r="B9" s="15" t="s">
        <v>285</v>
      </c>
      <c r="C9" s="16" t="s">
        <v>286</v>
      </c>
      <c r="D9" s="16" t="s">
        <v>287</v>
      </c>
      <c r="E9" s="17">
        <v>46155</v>
      </c>
      <c r="F9" s="17">
        <v>47235</v>
      </c>
      <c r="G9" s="28">
        <v>1000</v>
      </c>
      <c r="H9" s="28">
        <v>992</v>
      </c>
      <c r="I9" s="29">
        <v>520</v>
      </c>
      <c r="J9" s="19" t="s">
        <v>271</v>
      </c>
    </row>
    <row r="10" spans="1:10">
      <c r="A10" s="15" t="s">
        <v>288</v>
      </c>
      <c r="B10" s="15" t="s">
        <v>289</v>
      </c>
      <c r="C10" s="16" t="s">
        <v>290</v>
      </c>
      <c r="D10" s="16" t="s">
        <v>291</v>
      </c>
      <c r="E10" s="17">
        <v>46150</v>
      </c>
      <c r="F10" s="17">
        <v>47230</v>
      </c>
      <c r="G10" s="28">
        <v>500</v>
      </c>
      <c r="H10" s="28">
        <v>495.4</v>
      </c>
      <c r="I10" s="29">
        <v>38</v>
      </c>
      <c r="J10" s="19" t="s">
        <v>271</v>
      </c>
    </row>
    <row r="11" spans="1:10">
      <c r="A11" s="15" t="s">
        <v>292</v>
      </c>
      <c r="B11" s="15" t="s">
        <v>293</v>
      </c>
      <c r="C11" s="16" t="s">
        <v>294</v>
      </c>
      <c r="D11" s="16" t="s">
        <v>295</v>
      </c>
      <c r="E11" s="17">
        <v>46142</v>
      </c>
      <c r="F11" s="17">
        <v>46862</v>
      </c>
      <c r="G11" s="28">
        <v>1000</v>
      </c>
      <c r="H11" s="28">
        <v>968.6</v>
      </c>
      <c r="I11" s="29">
        <v>280</v>
      </c>
      <c r="J11" s="19" t="s">
        <v>271</v>
      </c>
    </row>
    <row r="12" spans="1:10">
      <c r="A12" s="15" t="s">
        <v>296</v>
      </c>
      <c r="B12" s="15" t="s">
        <v>281</v>
      </c>
      <c r="C12" s="16" t="s">
        <v>282</v>
      </c>
      <c r="D12" s="16" t="s">
        <v>283</v>
      </c>
      <c r="E12" s="17">
        <v>46138</v>
      </c>
      <c r="F12" s="17">
        <v>46858</v>
      </c>
      <c r="G12" s="28">
        <v>100</v>
      </c>
      <c r="H12" s="28">
        <v>95.6</v>
      </c>
      <c r="I12" s="29">
        <v>480</v>
      </c>
      <c r="J12" s="19" t="s">
        <v>271</v>
      </c>
    </row>
    <row r="13" spans="1:10">
      <c r="A13" s="15" t="s">
        <v>297</v>
      </c>
      <c r="B13" s="15" t="s">
        <v>285</v>
      </c>
      <c r="C13" s="16" t="s">
        <v>286</v>
      </c>
      <c r="D13" s="16" t="s">
        <v>287</v>
      </c>
      <c r="E13" s="17">
        <v>46136</v>
      </c>
      <c r="F13" s="17">
        <v>47216</v>
      </c>
      <c r="G13" s="28">
        <v>300</v>
      </c>
      <c r="H13" s="28">
        <v>293.60000000000002</v>
      </c>
      <c r="I13" s="29">
        <v>520</v>
      </c>
      <c r="J13" s="19" t="s">
        <v>271</v>
      </c>
    </row>
    <row r="14" spans="1:10">
      <c r="A14" s="15" t="s">
        <v>298</v>
      </c>
      <c r="B14" s="15" t="s">
        <v>299</v>
      </c>
      <c r="C14" s="16" t="s">
        <v>300</v>
      </c>
      <c r="D14" s="16" t="s">
        <v>301</v>
      </c>
      <c r="E14" s="17">
        <v>46135</v>
      </c>
      <c r="F14" s="17">
        <v>46675</v>
      </c>
      <c r="G14" s="28">
        <v>300</v>
      </c>
      <c r="H14" s="28">
        <v>283.7</v>
      </c>
      <c r="I14" s="29">
        <v>85</v>
      </c>
      <c r="J14" s="19" t="s">
        <v>271</v>
      </c>
    </row>
    <row r="15" spans="1:10">
      <c r="A15" s="15" t="s">
        <v>302</v>
      </c>
      <c r="B15" s="15" t="s">
        <v>303</v>
      </c>
      <c r="C15" s="16" t="s">
        <v>304</v>
      </c>
      <c r="D15" s="16" t="s">
        <v>305</v>
      </c>
      <c r="E15" s="17">
        <v>46132</v>
      </c>
      <c r="F15" s="17">
        <v>47212</v>
      </c>
      <c r="G15" s="28">
        <v>150</v>
      </c>
      <c r="H15" s="28">
        <v>144.4</v>
      </c>
      <c r="I15" s="29">
        <v>45</v>
      </c>
      <c r="J15" s="19" t="s">
        <v>271</v>
      </c>
    </row>
    <row r="16" spans="1:10">
      <c r="A16" s="15" t="s">
        <v>306</v>
      </c>
      <c r="B16" s="15" t="s">
        <v>307</v>
      </c>
      <c r="C16" s="16" t="s">
        <v>308</v>
      </c>
      <c r="D16" s="16" t="s">
        <v>309</v>
      </c>
      <c r="E16" s="17">
        <v>46130</v>
      </c>
      <c r="F16" s="17">
        <v>46850</v>
      </c>
      <c r="G16" s="28">
        <v>50</v>
      </c>
      <c r="H16" s="28">
        <v>48.2</v>
      </c>
      <c r="I16" s="29">
        <v>250</v>
      </c>
      <c r="J16" s="19" t="s">
        <v>271</v>
      </c>
    </row>
    <row r="17" spans="1:10">
      <c r="A17" s="15" t="s">
        <v>310</v>
      </c>
      <c r="B17" s="15" t="s">
        <v>285</v>
      </c>
      <c r="C17" s="16" t="s">
        <v>286</v>
      </c>
      <c r="D17" s="16" t="s">
        <v>287</v>
      </c>
      <c r="E17" s="17">
        <v>46129</v>
      </c>
      <c r="F17" s="17">
        <v>47209</v>
      </c>
      <c r="G17" s="28">
        <v>800</v>
      </c>
      <c r="H17" s="28">
        <v>778.6</v>
      </c>
      <c r="I17" s="29">
        <v>520</v>
      </c>
      <c r="J17" s="19" t="s">
        <v>271</v>
      </c>
    </row>
    <row r="18" spans="1:10">
      <c r="A18" s="15" t="s">
        <v>311</v>
      </c>
      <c r="B18" s="15" t="s">
        <v>281</v>
      </c>
      <c r="C18" s="16" t="s">
        <v>282</v>
      </c>
      <c r="D18" s="16" t="s">
        <v>283</v>
      </c>
      <c r="E18" s="17">
        <v>46128</v>
      </c>
      <c r="F18" s="17">
        <v>46848</v>
      </c>
      <c r="G18" s="28">
        <v>1000</v>
      </c>
      <c r="H18" s="28">
        <v>944.9</v>
      </c>
      <c r="I18" s="29">
        <v>480</v>
      </c>
      <c r="J18" s="19" t="s">
        <v>271</v>
      </c>
    </row>
    <row r="19" spans="1:10">
      <c r="A19" s="15" t="s">
        <v>312</v>
      </c>
      <c r="B19" s="15" t="s">
        <v>293</v>
      </c>
      <c r="C19" s="16" t="s">
        <v>294</v>
      </c>
      <c r="D19" s="16" t="s">
        <v>295</v>
      </c>
      <c r="E19" s="17">
        <v>46125</v>
      </c>
      <c r="F19" s="17">
        <v>46845</v>
      </c>
      <c r="G19" s="28">
        <v>150</v>
      </c>
      <c r="H19" s="28">
        <v>141</v>
      </c>
      <c r="I19" s="29">
        <v>280</v>
      </c>
      <c r="J19" s="19" t="s">
        <v>271</v>
      </c>
    </row>
    <row r="20" spans="1:10">
      <c r="A20" s="15" t="s">
        <v>313</v>
      </c>
      <c r="B20" s="15" t="s">
        <v>314</v>
      </c>
      <c r="C20" s="16" t="s">
        <v>315</v>
      </c>
      <c r="D20" s="16" t="s">
        <v>316</v>
      </c>
      <c r="E20" s="17">
        <v>46118</v>
      </c>
      <c r="F20" s="17">
        <v>46838</v>
      </c>
      <c r="G20" s="28">
        <v>150</v>
      </c>
      <c r="H20" s="28">
        <v>141.80000000000001</v>
      </c>
      <c r="I20" s="29">
        <v>980</v>
      </c>
      <c r="J20" s="19" t="s">
        <v>271</v>
      </c>
    </row>
    <row r="21" spans="1:10">
      <c r="A21" s="15" t="s">
        <v>317</v>
      </c>
      <c r="B21" s="15" t="s">
        <v>277</v>
      </c>
      <c r="C21" s="16" t="s">
        <v>278</v>
      </c>
      <c r="D21" s="16" t="s">
        <v>279</v>
      </c>
      <c r="E21" s="17">
        <v>46114</v>
      </c>
      <c r="F21" s="17">
        <v>46834</v>
      </c>
      <c r="G21" s="28">
        <v>150</v>
      </c>
      <c r="H21" s="28">
        <v>143.30000000000001</v>
      </c>
      <c r="I21" s="29">
        <v>350</v>
      </c>
      <c r="J21" s="19" t="s">
        <v>271</v>
      </c>
    </row>
    <row r="22" spans="1:10">
      <c r="A22" s="15" t="s">
        <v>318</v>
      </c>
      <c r="B22" s="15" t="s">
        <v>277</v>
      </c>
      <c r="C22" s="16" t="s">
        <v>278</v>
      </c>
      <c r="D22" s="16" t="s">
        <v>279</v>
      </c>
      <c r="E22" s="17">
        <v>46110</v>
      </c>
      <c r="F22" s="17">
        <v>46830</v>
      </c>
      <c r="G22" s="28">
        <v>1000</v>
      </c>
      <c r="H22" s="28">
        <v>951.9</v>
      </c>
      <c r="I22" s="29">
        <v>350</v>
      </c>
      <c r="J22" s="19" t="s">
        <v>271</v>
      </c>
    </row>
    <row r="23" spans="1:10">
      <c r="A23" s="15" t="s">
        <v>319</v>
      </c>
      <c r="B23" s="15" t="s">
        <v>293</v>
      </c>
      <c r="C23" s="16" t="s">
        <v>294</v>
      </c>
      <c r="D23" s="16" t="s">
        <v>295</v>
      </c>
      <c r="E23" s="17">
        <v>46108</v>
      </c>
      <c r="F23" s="17">
        <v>46828</v>
      </c>
      <c r="G23" s="28">
        <v>800</v>
      </c>
      <c r="H23" s="28">
        <v>740.3</v>
      </c>
      <c r="I23" s="29">
        <v>280</v>
      </c>
      <c r="J23" s="19" t="s">
        <v>271</v>
      </c>
    </row>
    <row r="24" spans="1:10">
      <c r="A24" s="15" t="s">
        <v>320</v>
      </c>
      <c r="B24" s="15" t="s">
        <v>281</v>
      </c>
      <c r="C24" s="16" t="s">
        <v>282</v>
      </c>
      <c r="D24" s="16" t="s">
        <v>283</v>
      </c>
      <c r="E24" s="17">
        <v>46107</v>
      </c>
      <c r="F24" s="17">
        <v>46827</v>
      </c>
      <c r="G24" s="28">
        <v>150</v>
      </c>
      <c r="H24" s="28">
        <v>138.19999999999999</v>
      </c>
      <c r="I24" s="29">
        <v>480</v>
      </c>
      <c r="J24" s="19" t="s">
        <v>271</v>
      </c>
    </row>
    <row r="25" spans="1:10">
      <c r="A25" s="15" t="s">
        <v>321</v>
      </c>
      <c r="B25" s="15" t="s">
        <v>293</v>
      </c>
      <c r="C25" s="16" t="s">
        <v>294</v>
      </c>
      <c r="D25" s="16" t="s">
        <v>295</v>
      </c>
      <c r="E25" s="17">
        <v>46107</v>
      </c>
      <c r="F25" s="17">
        <v>46827</v>
      </c>
      <c r="G25" s="28">
        <v>200</v>
      </c>
      <c r="H25" s="28">
        <v>182.6</v>
      </c>
      <c r="I25" s="29">
        <v>280</v>
      </c>
      <c r="J25" s="19" t="s">
        <v>271</v>
      </c>
    </row>
    <row r="26" spans="1:10">
      <c r="A26" s="15" t="s">
        <v>322</v>
      </c>
      <c r="B26" s="15" t="s">
        <v>277</v>
      </c>
      <c r="C26" s="16" t="s">
        <v>278</v>
      </c>
      <c r="D26" s="16" t="s">
        <v>279</v>
      </c>
      <c r="E26" s="17">
        <v>46105</v>
      </c>
      <c r="F26" s="17">
        <v>46825</v>
      </c>
      <c r="G26" s="28">
        <v>100</v>
      </c>
      <c r="H26" s="28">
        <v>93.9</v>
      </c>
      <c r="I26" s="29">
        <v>350</v>
      </c>
      <c r="J26" s="19" t="s">
        <v>271</v>
      </c>
    </row>
    <row r="27" spans="1:10">
      <c r="A27" s="15" t="s">
        <v>323</v>
      </c>
      <c r="B27" s="15" t="s">
        <v>307</v>
      </c>
      <c r="C27" s="16" t="s">
        <v>308</v>
      </c>
      <c r="D27" s="16" t="s">
        <v>309</v>
      </c>
      <c r="E27" s="17">
        <v>46101</v>
      </c>
      <c r="F27" s="17">
        <v>46821</v>
      </c>
      <c r="G27" s="28">
        <v>100</v>
      </c>
      <c r="H27" s="28">
        <v>94.1</v>
      </c>
      <c r="I27" s="29">
        <v>250</v>
      </c>
      <c r="J27" s="19" t="s">
        <v>271</v>
      </c>
    </row>
    <row r="28" spans="1:10">
      <c r="A28" s="15" t="s">
        <v>324</v>
      </c>
      <c r="B28" s="15" t="s">
        <v>299</v>
      </c>
      <c r="C28" s="16" t="s">
        <v>300</v>
      </c>
      <c r="D28" s="16" t="s">
        <v>301</v>
      </c>
      <c r="E28" s="17">
        <v>46094</v>
      </c>
      <c r="F28" s="17">
        <v>46634</v>
      </c>
      <c r="G28" s="28">
        <v>100</v>
      </c>
      <c r="H28" s="28">
        <v>88.2</v>
      </c>
      <c r="I28" s="29">
        <v>85</v>
      </c>
      <c r="J28" s="19" t="s">
        <v>271</v>
      </c>
    </row>
    <row r="29" spans="1:10">
      <c r="A29" s="15" t="s">
        <v>325</v>
      </c>
      <c r="B29" s="15" t="s">
        <v>268</v>
      </c>
      <c r="C29" s="16" t="s">
        <v>269</v>
      </c>
      <c r="D29" s="16" t="s">
        <v>270</v>
      </c>
      <c r="E29" s="17">
        <v>46089</v>
      </c>
      <c r="F29" s="17">
        <v>46629</v>
      </c>
      <c r="G29" s="28">
        <v>1000</v>
      </c>
      <c r="H29" s="28">
        <v>892.1</v>
      </c>
      <c r="I29" s="29">
        <v>110</v>
      </c>
      <c r="J29" s="19" t="s">
        <v>271</v>
      </c>
    </row>
    <row r="30" spans="1:10">
      <c r="A30" s="15" t="s">
        <v>326</v>
      </c>
      <c r="B30" s="15" t="s">
        <v>273</v>
      </c>
      <c r="C30" s="16" t="s">
        <v>274</v>
      </c>
      <c r="D30" s="16" t="s">
        <v>275</v>
      </c>
      <c r="E30" s="17">
        <v>46089</v>
      </c>
      <c r="F30" s="17">
        <v>46809</v>
      </c>
      <c r="G30" s="28">
        <v>300</v>
      </c>
      <c r="H30" s="28">
        <v>268.5</v>
      </c>
      <c r="I30" s="29">
        <v>180</v>
      </c>
      <c r="J30" s="19" t="s">
        <v>271</v>
      </c>
    </row>
    <row r="31" spans="1:10">
      <c r="A31" s="15" t="s">
        <v>327</v>
      </c>
      <c r="B31" s="15" t="s">
        <v>328</v>
      </c>
      <c r="C31" s="16" t="s">
        <v>329</v>
      </c>
      <c r="D31" s="16" t="s">
        <v>330</v>
      </c>
      <c r="E31" s="17">
        <v>46082</v>
      </c>
      <c r="F31" s="17">
        <v>46442</v>
      </c>
      <c r="G31" s="28">
        <v>1000</v>
      </c>
      <c r="H31" s="28">
        <v>741.3</v>
      </c>
      <c r="I31" s="29">
        <v>1450</v>
      </c>
      <c r="J31" s="19" t="s">
        <v>271</v>
      </c>
    </row>
    <row r="32" spans="1:10">
      <c r="A32" s="15" t="s">
        <v>331</v>
      </c>
      <c r="B32" s="15" t="s">
        <v>314</v>
      </c>
      <c r="C32" s="16" t="s">
        <v>315</v>
      </c>
      <c r="D32" s="16" t="s">
        <v>316</v>
      </c>
      <c r="E32" s="17">
        <v>46074</v>
      </c>
      <c r="F32" s="17">
        <v>46794</v>
      </c>
      <c r="G32" s="28">
        <v>1000</v>
      </c>
      <c r="H32" s="28">
        <v>853.4</v>
      </c>
      <c r="I32" s="29">
        <v>980</v>
      </c>
      <c r="J32" s="19" t="s">
        <v>271</v>
      </c>
    </row>
    <row r="33" spans="1:10">
      <c r="A33" s="15" t="s">
        <v>332</v>
      </c>
      <c r="B33" s="15" t="s">
        <v>285</v>
      </c>
      <c r="C33" s="16" t="s">
        <v>286</v>
      </c>
      <c r="D33" s="16" t="s">
        <v>287</v>
      </c>
      <c r="E33" s="17">
        <v>46066</v>
      </c>
      <c r="F33" s="17">
        <v>47146</v>
      </c>
      <c r="G33" s="28">
        <v>300</v>
      </c>
      <c r="H33" s="28">
        <v>266.2</v>
      </c>
      <c r="I33" s="29">
        <v>520</v>
      </c>
      <c r="J33" s="19" t="s">
        <v>271</v>
      </c>
    </row>
    <row r="34" spans="1:10">
      <c r="A34" s="15" t="s">
        <v>333</v>
      </c>
      <c r="B34" s="15" t="s">
        <v>303</v>
      </c>
      <c r="C34" s="16" t="s">
        <v>304</v>
      </c>
      <c r="D34" s="16" t="s">
        <v>305</v>
      </c>
      <c r="E34" s="17">
        <v>46061</v>
      </c>
      <c r="F34" s="17">
        <v>47141</v>
      </c>
      <c r="G34" s="28">
        <v>800</v>
      </c>
      <c r="H34" s="28">
        <v>709.9</v>
      </c>
      <c r="I34" s="29">
        <v>45</v>
      </c>
      <c r="J34" s="19" t="s">
        <v>271</v>
      </c>
    </row>
    <row r="35" spans="1:10">
      <c r="A35" s="15" t="s">
        <v>334</v>
      </c>
      <c r="B35" s="15" t="s">
        <v>273</v>
      </c>
      <c r="C35" s="16" t="s">
        <v>274</v>
      </c>
      <c r="D35" s="16" t="s">
        <v>275</v>
      </c>
      <c r="E35" s="17">
        <v>46055</v>
      </c>
      <c r="F35" s="17">
        <v>46775</v>
      </c>
      <c r="G35" s="28">
        <v>200</v>
      </c>
      <c r="H35" s="28">
        <v>162.6</v>
      </c>
      <c r="I35" s="29">
        <v>180</v>
      </c>
      <c r="J35" s="19" t="s">
        <v>271</v>
      </c>
    </row>
    <row r="36" spans="1:10">
      <c r="A36" s="15" t="s">
        <v>335</v>
      </c>
      <c r="B36" s="15" t="s">
        <v>307</v>
      </c>
      <c r="C36" s="16" t="s">
        <v>308</v>
      </c>
      <c r="D36" s="16" t="s">
        <v>309</v>
      </c>
      <c r="E36" s="17">
        <v>46051</v>
      </c>
      <c r="F36" s="17">
        <v>46771</v>
      </c>
      <c r="G36" s="28">
        <v>50</v>
      </c>
      <c r="H36" s="28">
        <v>42.4</v>
      </c>
      <c r="I36" s="29">
        <v>250</v>
      </c>
      <c r="J36" s="19" t="s">
        <v>271</v>
      </c>
    </row>
    <row r="37" spans="1:10">
      <c r="A37" s="15" t="s">
        <v>336</v>
      </c>
      <c r="B37" s="15" t="s">
        <v>307</v>
      </c>
      <c r="C37" s="16" t="s">
        <v>308</v>
      </c>
      <c r="D37" s="16" t="s">
        <v>309</v>
      </c>
      <c r="E37" s="17">
        <v>46037</v>
      </c>
      <c r="F37" s="17">
        <v>46757</v>
      </c>
      <c r="G37" s="28">
        <v>500</v>
      </c>
      <c r="H37" s="28">
        <v>438.6</v>
      </c>
      <c r="I37" s="29">
        <v>250</v>
      </c>
      <c r="J37" s="19" t="s">
        <v>271</v>
      </c>
    </row>
    <row r="38" spans="1:10" ht="29">
      <c r="A38" s="15" t="s">
        <v>337</v>
      </c>
      <c r="B38" s="15" t="s">
        <v>338</v>
      </c>
      <c r="C38" s="16" t="s">
        <v>339</v>
      </c>
      <c r="D38" s="16" t="s">
        <v>340</v>
      </c>
      <c r="E38" s="17">
        <v>46032</v>
      </c>
      <c r="F38" s="17">
        <v>46752</v>
      </c>
      <c r="G38" s="28">
        <v>50</v>
      </c>
      <c r="H38" s="28">
        <v>39.1</v>
      </c>
      <c r="I38" s="29">
        <v>420</v>
      </c>
      <c r="J38" s="19" t="s">
        <v>271</v>
      </c>
    </row>
    <row r="39" spans="1:10">
      <c r="A39" s="15" t="s">
        <v>341</v>
      </c>
      <c r="B39" s="15" t="s">
        <v>299</v>
      </c>
      <c r="C39" s="16" t="s">
        <v>300</v>
      </c>
      <c r="D39" s="16" t="s">
        <v>301</v>
      </c>
      <c r="E39" s="17">
        <v>46031</v>
      </c>
      <c r="F39" s="17">
        <v>46571</v>
      </c>
      <c r="G39" s="28">
        <v>300</v>
      </c>
      <c r="H39" s="28">
        <v>212.6</v>
      </c>
      <c r="I39" s="29">
        <v>85</v>
      </c>
      <c r="J39" s="19" t="s">
        <v>271</v>
      </c>
    </row>
    <row r="40" spans="1:10">
      <c r="A40" s="15" t="s">
        <v>342</v>
      </c>
      <c r="B40" s="15" t="s">
        <v>277</v>
      </c>
      <c r="C40" s="16" t="s">
        <v>278</v>
      </c>
      <c r="D40" s="16" t="s">
        <v>279</v>
      </c>
      <c r="E40" s="17">
        <v>46026</v>
      </c>
      <c r="F40" s="17">
        <v>46746</v>
      </c>
      <c r="G40" s="28">
        <v>500</v>
      </c>
      <c r="H40" s="28">
        <v>422.3</v>
      </c>
      <c r="I40" s="29">
        <v>350</v>
      </c>
      <c r="J40" s="19" t="s">
        <v>271</v>
      </c>
    </row>
    <row r="41" spans="1:10">
      <c r="A41" s="15" t="s">
        <v>343</v>
      </c>
      <c r="B41" s="15" t="s">
        <v>281</v>
      </c>
      <c r="C41" s="16" t="s">
        <v>282</v>
      </c>
      <c r="D41" s="16" t="s">
        <v>283</v>
      </c>
      <c r="E41" s="17">
        <v>46020</v>
      </c>
      <c r="F41" s="17">
        <v>46740</v>
      </c>
      <c r="G41" s="28">
        <v>150</v>
      </c>
      <c r="H41" s="28">
        <v>118.7</v>
      </c>
      <c r="I41" s="29">
        <v>480</v>
      </c>
      <c r="J41" s="19" t="s">
        <v>271</v>
      </c>
    </row>
    <row r="42" spans="1:10">
      <c r="A42" s="15" t="s">
        <v>344</v>
      </c>
      <c r="B42" s="15" t="s">
        <v>273</v>
      </c>
      <c r="C42" s="16" t="s">
        <v>274</v>
      </c>
      <c r="D42" s="16" t="s">
        <v>275</v>
      </c>
      <c r="E42" s="17">
        <v>46008</v>
      </c>
      <c r="F42" s="17">
        <v>46728</v>
      </c>
      <c r="G42" s="28">
        <v>300</v>
      </c>
      <c r="H42" s="28">
        <v>236.1</v>
      </c>
      <c r="I42" s="29">
        <v>180</v>
      </c>
      <c r="J42" s="19" t="s">
        <v>271</v>
      </c>
    </row>
    <row r="43" spans="1:10">
      <c r="A43" s="15" t="s">
        <v>345</v>
      </c>
      <c r="B43" s="15" t="s">
        <v>314</v>
      </c>
      <c r="C43" s="16" t="s">
        <v>315</v>
      </c>
      <c r="D43" s="16" t="s">
        <v>316</v>
      </c>
      <c r="E43" s="17">
        <v>46006</v>
      </c>
      <c r="F43" s="17">
        <v>46726</v>
      </c>
      <c r="G43" s="28">
        <v>50</v>
      </c>
      <c r="H43" s="28">
        <v>37</v>
      </c>
      <c r="I43" s="29">
        <v>980</v>
      </c>
      <c r="J43" s="19" t="s">
        <v>271</v>
      </c>
    </row>
    <row r="44" spans="1:10">
      <c r="A44" s="15" t="s">
        <v>346</v>
      </c>
      <c r="B44" s="15" t="s">
        <v>314</v>
      </c>
      <c r="C44" s="16" t="s">
        <v>315</v>
      </c>
      <c r="D44" s="16" t="s">
        <v>316</v>
      </c>
      <c r="E44" s="17">
        <v>45998</v>
      </c>
      <c r="F44" s="17">
        <v>46718</v>
      </c>
      <c r="G44" s="28">
        <v>800</v>
      </c>
      <c r="H44" s="28">
        <v>656.4</v>
      </c>
      <c r="I44" s="29">
        <v>980</v>
      </c>
      <c r="J44" s="19" t="s">
        <v>271</v>
      </c>
    </row>
    <row r="45" spans="1:10">
      <c r="A45" s="15" t="s">
        <v>347</v>
      </c>
      <c r="B45" s="15" t="s">
        <v>268</v>
      </c>
      <c r="C45" s="16" t="s">
        <v>269</v>
      </c>
      <c r="D45" s="16" t="s">
        <v>270</v>
      </c>
      <c r="E45" s="17">
        <v>45987</v>
      </c>
      <c r="F45" s="17">
        <v>46527</v>
      </c>
      <c r="G45" s="28">
        <v>100</v>
      </c>
      <c r="H45" s="28">
        <v>58.4</v>
      </c>
      <c r="I45" s="29">
        <v>110</v>
      </c>
      <c r="J45" s="19" t="s">
        <v>271</v>
      </c>
    </row>
    <row r="46" spans="1:10" ht="29">
      <c r="A46" s="15" t="s">
        <v>348</v>
      </c>
      <c r="B46" s="15" t="s">
        <v>338</v>
      </c>
      <c r="C46" s="16" t="s">
        <v>339</v>
      </c>
      <c r="D46" s="16" t="s">
        <v>340</v>
      </c>
      <c r="E46" s="17">
        <v>45985</v>
      </c>
      <c r="F46" s="17">
        <v>46705</v>
      </c>
      <c r="G46" s="28">
        <v>300</v>
      </c>
      <c r="H46" s="28">
        <v>230.4</v>
      </c>
      <c r="I46" s="29">
        <v>420</v>
      </c>
      <c r="J46" s="19" t="s">
        <v>271</v>
      </c>
    </row>
    <row r="47" spans="1:10">
      <c r="A47" s="15" t="s">
        <v>349</v>
      </c>
      <c r="B47" s="15" t="s">
        <v>328</v>
      </c>
      <c r="C47" s="16" t="s">
        <v>329</v>
      </c>
      <c r="D47" s="16" t="s">
        <v>330</v>
      </c>
      <c r="E47" s="17">
        <v>45877</v>
      </c>
      <c r="F47" s="17">
        <v>46237</v>
      </c>
      <c r="G47" s="28">
        <v>800</v>
      </c>
      <c r="H47" s="28">
        <v>324.8</v>
      </c>
      <c r="I47" s="29">
        <v>1450</v>
      </c>
      <c r="J47" s="20" t="s">
        <v>350</v>
      </c>
    </row>
    <row r="48" spans="1:10">
      <c r="A48" s="15" t="s">
        <v>351</v>
      </c>
      <c r="B48" s="15" t="s">
        <v>328</v>
      </c>
      <c r="C48" s="16" t="s">
        <v>329</v>
      </c>
      <c r="D48" s="16" t="s">
        <v>330</v>
      </c>
      <c r="E48" s="17">
        <v>45784</v>
      </c>
      <c r="F48" s="17">
        <v>46144</v>
      </c>
      <c r="G48" s="28">
        <v>300</v>
      </c>
      <c r="H48" s="28">
        <v>15</v>
      </c>
      <c r="I48" s="29">
        <v>1450</v>
      </c>
      <c r="J48" s="23" t="s">
        <v>352</v>
      </c>
    </row>
    <row r="49" spans="1:10">
      <c r="A49" s="15" t="s">
        <v>353</v>
      </c>
      <c r="B49" s="15" t="s">
        <v>299</v>
      </c>
      <c r="C49" s="16" t="s">
        <v>300</v>
      </c>
      <c r="D49" s="16" t="s">
        <v>301</v>
      </c>
      <c r="E49" s="17">
        <v>45657</v>
      </c>
      <c r="F49" s="17">
        <v>46197</v>
      </c>
      <c r="G49" s="28">
        <v>200</v>
      </c>
      <c r="H49" s="28">
        <v>53.1</v>
      </c>
      <c r="I49" s="29">
        <v>85</v>
      </c>
      <c r="J49" s="21" t="s">
        <v>354</v>
      </c>
    </row>
    <row r="50" spans="1:10">
      <c r="A50" s="15" t="s">
        <v>355</v>
      </c>
      <c r="B50" s="15" t="s">
        <v>307</v>
      </c>
      <c r="C50" s="16" t="s">
        <v>308</v>
      </c>
      <c r="D50" s="16" t="s">
        <v>309</v>
      </c>
      <c r="E50" s="17">
        <v>45525</v>
      </c>
      <c r="F50" s="17">
        <v>46245</v>
      </c>
      <c r="G50" s="28">
        <v>50</v>
      </c>
      <c r="H50" s="28">
        <v>4.9000000000000004</v>
      </c>
      <c r="I50" s="29">
        <v>250</v>
      </c>
      <c r="J50" s="30" t="s">
        <v>356</v>
      </c>
    </row>
    <row r="51" spans="1:10" ht="29">
      <c r="A51" s="15" t="s">
        <v>357</v>
      </c>
      <c r="B51" s="15" t="s">
        <v>338</v>
      </c>
      <c r="C51" s="16" t="s">
        <v>339</v>
      </c>
      <c r="D51" s="16" t="s">
        <v>340</v>
      </c>
      <c r="E51" s="17">
        <v>45512</v>
      </c>
      <c r="F51" s="17">
        <v>46232</v>
      </c>
      <c r="G51" s="28">
        <v>50</v>
      </c>
      <c r="H51" s="28">
        <v>18.5</v>
      </c>
      <c r="I51" s="29">
        <v>420</v>
      </c>
      <c r="J51" s="20" t="s">
        <v>350</v>
      </c>
    </row>
    <row r="52" spans="1:10">
      <c r="A52" s="15" t="s">
        <v>358</v>
      </c>
      <c r="B52" s="15" t="s">
        <v>277</v>
      </c>
      <c r="C52" s="16" t="s">
        <v>278</v>
      </c>
      <c r="D52" s="16" t="s">
        <v>279</v>
      </c>
      <c r="E52" s="17">
        <v>45500</v>
      </c>
      <c r="F52" s="17">
        <v>46220</v>
      </c>
      <c r="G52" s="28">
        <v>200</v>
      </c>
      <c r="H52" s="28">
        <v>42.3</v>
      </c>
      <c r="I52" s="29">
        <v>350</v>
      </c>
      <c r="J52" s="21" t="s">
        <v>354</v>
      </c>
    </row>
    <row r="53" spans="1:10">
      <c r="A53" s="15" t="s">
        <v>359</v>
      </c>
      <c r="B53" s="15" t="s">
        <v>293</v>
      </c>
      <c r="C53" s="16" t="s">
        <v>294</v>
      </c>
      <c r="D53" s="16" t="s">
        <v>295</v>
      </c>
      <c r="E53" s="17">
        <v>45477</v>
      </c>
      <c r="F53" s="17">
        <v>46197</v>
      </c>
      <c r="G53" s="28">
        <v>300</v>
      </c>
      <c r="H53" s="28">
        <v>84.7</v>
      </c>
      <c r="I53" s="29">
        <v>280</v>
      </c>
      <c r="J53" s="21" t="s">
        <v>354</v>
      </c>
    </row>
    <row r="54" spans="1:10">
      <c r="A54" s="15" t="s">
        <v>360</v>
      </c>
      <c r="B54" s="15" t="s">
        <v>293</v>
      </c>
      <c r="C54" s="16" t="s">
        <v>294</v>
      </c>
      <c r="D54" s="16" t="s">
        <v>295</v>
      </c>
      <c r="E54" s="17">
        <v>45447</v>
      </c>
      <c r="F54" s="17">
        <v>46167</v>
      </c>
      <c r="G54" s="28">
        <v>1000</v>
      </c>
      <c r="H54" s="28">
        <v>50</v>
      </c>
      <c r="I54" s="29">
        <v>280</v>
      </c>
      <c r="J54" s="22" t="s">
        <v>361</v>
      </c>
    </row>
    <row r="55" spans="1:10">
      <c r="A55" s="15" t="s">
        <v>362</v>
      </c>
      <c r="B55" s="15" t="s">
        <v>314</v>
      </c>
      <c r="C55" s="16" t="s">
        <v>315</v>
      </c>
      <c r="D55" s="16" t="s">
        <v>316</v>
      </c>
      <c r="E55" s="17">
        <v>45445</v>
      </c>
      <c r="F55" s="17">
        <v>46165</v>
      </c>
      <c r="G55" s="28">
        <v>500</v>
      </c>
      <c r="H55" s="28">
        <v>25</v>
      </c>
      <c r="I55" s="29">
        <v>980</v>
      </c>
      <c r="J55" s="22" t="s">
        <v>361</v>
      </c>
    </row>
    <row r="56" spans="1:10">
      <c r="A56" s="15" t="s">
        <v>363</v>
      </c>
      <c r="B56" s="15" t="s">
        <v>273</v>
      </c>
      <c r="C56" s="16" t="s">
        <v>274</v>
      </c>
      <c r="D56" s="16" t="s">
        <v>275</v>
      </c>
      <c r="E56" s="17">
        <v>45441</v>
      </c>
      <c r="F56" s="17">
        <v>46161</v>
      </c>
      <c r="G56" s="28">
        <v>500</v>
      </c>
      <c r="H56" s="28">
        <v>159.5</v>
      </c>
      <c r="I56" s="29">
        <v>180</v>
      </c>
      <c r="J56" s="23" t="s">
        <v>352</v>
      </c>
    </row>
    <row r="57" spans="1:10">
      <c r="A57" s="15" t="s">
        <v>364</v>
      </c>
      <c r="B57" s="15" t="s">
        <v>314</v>
      </c>
      <c r="C57" s="16" t="s">
        <v>315</v>
      </c>
      <c r="D57" s="16" t="s">
        <v>316</v>
      </c>
      <c r="E57" s="17">
        <v>45433</v>
      </c>
      <c r="F57" s="17">
        <v>46153</v>
      </c>
      <c r="G57" s="28">
        <v>50</v>
      </c>
      <c r="H57" s="28">
        <v>7.5</v>
      </c>
      <c r="I57" s="29">
        <v>980</v>
      </c>
      <c r="J57" s="23" t="s">
        <v>352</v>
      </c>
    </row>
    <row r="58" spans="1:10">
      <c r="A58" s="15" t="s">
        <v>365</v>
      </c>
      <c r="B58" s="15" t="s">
        <v>281</v>
      </c>
      <c r="C58" s="16" t="s">
        <v>282</v>
      </c>
      <c r="D58" s="16" t="s">
        <v>283</v>
      </c>
      <c r="E58" s="17">
        <v>45427</v>
      </c>
      <c r="F58" s="17">
        <v>46147</v>
      </c>
      <c r="G58" s="28">
        <v>500</v>
      </c>
      <c r="H58" s="28">
        <v>25</v>
      </c>
      <c r="I58" s="29">
        <v>480</v>
      </c>
      <c r="J58" s="23" t="s">
        <v>352</v>
      </c>
    </row>
    <row r="59" spans="1:10">
      <c r="A59" s="15" t="s">
        <v>366</v>
      </c>
      <c r="B59" s="15" t="s">
        <v>289</v>
      </c>
      <c r="C59" s="16" t="s">
        <v>290</v>
      </c>
      <c r="D59" s="16" t="s">
        <v>291</v>
      </c>
      <c r="E59" s="17">
        <v>45149</v>
      </c>
      <c r="F59" s="17">
        <v>46229</v>
      </c>
      <c r="G59" s="28">
        <v>800</v>
      </c>
      <c r="H59" s="28">
        <v>40</v>
      </c>
      <c r="I59" s="29">
        <v>38</v>
      </c>
      <c r="J59" s="20" t="s">
        <v>350</v>
      </c>
    </row>
    <row r="60" spans="1:10">
      <c r="A60" s="15" t="s">
        <v>367</v>
      </c>
      <c r="B60" s="15" t="s">
        <v>289</v>
      </c>
      <c r="C60" s="16" t="s">
        <v>290</v>
      </c>
      <c r="D60" s="16" t="s">
        <v>291</v>
      </c>
      <c r="E60" s="17">
        <v>45147</v>
      </c>
      <c r="F60" s="17">
        <v>46227</v>
      </c>
      <c r="G60" s="28">
        <v>800</v>
      </c>
      <c r="H60" s="28">
        <v>40</v>
      </c>
      <c r="I60" s="29">
        <v>38</v>
      </c>
      <c r="J60" s="20" t="s">
        <v>350</v>
      </c>
    </row>
    <row r="61" spans="1:10">
      <c r="A61" s="15" t="s">
        <v>368</v>
      </c>
      <c r="B61" s="15" t="s">
        <v>303</v>
      </c>
      <c r="C61" s="16" t="s">
        <v>304</v>
      </c>
      <c r="D61" s="16" t="s">
        <v>305</v>
      </c>
      <c r="E61" s="17">
        <v>45123</v>
      </c>
      <c r="F61" s="17">
        <v>46203</v>
      </c>
      <c r="G61" s="28">
        <v>100</v>
      </c>
      <c r="H61" s="28">
        <v>5</v>
      </c>
      <c r="I61" s="29">
        <v>45</v>
      </c>
      <c r="J61" s="21" t="s">
        <v>354</v>
      </c>
    </row>
    <row r="62" spans="1:10">
      <c r="A62" s="15" t="s">
        <v>369</v>
      </c>
      <c r="B62" s="15" t="s">
        <v>303</v>
      </c>
      <c r="C62" s="16" t="s">
        <v>304</v>
      </c>
      <c r="D62" s="16" t="s">
        <v>305</v>
      </c>
      <c r="E62" s="17">
        <v>45094</v>
      </c>
      <c r="F62" s="17">
        <v>46174</v>
      </c>
      <c r="G62" s="28">
        <v>200</v>
      </c>
      <c r="H62" s="28">
        <v>10</v>
      </c>
      <c r="I62" s="29">
        <v>45</v>
      </c>
      <c r="J62" s="22" t="s">
        <v>361</v>
      </c>
    </row>
  </sheetData>
  <mergeCells count="2">
    <mergeCell ref="A1:J1"/>
    <mergeCell ref="A2:J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B035-AF50-43C7-B8E9-E90CEB1192D7}">
  <dimension ref="A1:I34"/>
  <sheetViews>
    <sheetView workbookViewId="0">
      <selection activeCell="C5" sqref="C5"/>
    </sheetView>
  </sheetViews>
  <sheetFormatPr defaultRowHeight="22.5"/>
  <cols>
    <col min="1" max="1" width="13.83203125" style="1" customWidth="1"/>
    <col min="2" max="2" width="11.5" style="1" customWidth="1"/>
    <col min="3" max="3" width="16.58203125" style="1" customWidth="1"/>
    <col min="4" max="5" width="11.5" style="1" customWidth="1"/>
    <col min="6" max="6" width="14.75" style="14" customWidth="1"/>
    <col min="7" max="7" width="19.1640625" style="14" customWidth="1"/>
    <col min="8" max="8" width="13.08203125" style="14" customWidth="1"/>
    <col min="9" max="9" width="15.58203125" style="1" customWidth="1"/>
    <col min="10" max="16384" width="8.6640625" style="1"/>
  </cols>
  <sheetData>
    <row r="1" spans="1:9" s="6" customFormat="1" ht="32" customHeight="1">
      <c r="A1" s="39" t="s">
        <v>49</v>
      </c>
      <c r="B1" s="39"/>
      <c r="C1" s="39"/>
      <c r="D1" s="39"/>
      <c r="E1" s="39"/>
      <c r="F1" s="39"/>
      <c r="G1" s="39"/>
      <c r="H1" s="39"/>
      <c r="I1" s="39"/>
    </row>
    <row r="2" spans="1:9">
      <c r="A2" s="43" t="s">
        <v>50</v>
      </c>
      <c r="B2" s="44"/>
      <c r="C2" s="44"/>
      <c r="D2" s="44"/>
      <c r="E2" s="44"/>
      <c r="F2" s="44"/>
      <c r="G2" s="44"/>
      <c r="H2" s="44"/>
      <c r="I2" s="44"/>
    </row>
    <row r="4" spans="1:9" s="9" customFormat="1" ht="32" customHeight="1">
      <c r="A4" s="27" t="s">
        <v>51</v>
      </c>
      <c r="B4" s="27" t="s">
        <v>52</v>
      </c>
      <c r="C4" s="27" t="s">
        <v>53</v>
      </c>
      <c r="D4" s="27" t="s">
        <v>54</v>
      </c>
      <c r="E4" s="27" t="s">
        <v>55</v>
      </c>
      <c r="F4" s="27" t="s">
        <v>56</v>
      </c>
      <c r="G4" s="27" t="s">
        <v>57</v>
      </c>
      <c r="H4" s="27" t="s">
        <v>58</v>
      </c>
      <c r="I4" s="27" t="s">
        <v>48</v>
      </c>
    </row>
    <row r="5" spans="1:9" ht="29">
      <c r="A5" s="15" t="s">
        <v>370</v>
      </c>
      <c r="B5" s="15" t="s">
        <v>133</v>
      </c>
      <c r="C5" s="15" t="s">
        <v>649</v>
      </c>
      <c r="D5" s="17">
        <v>46164</v>
      </c>
      <c r="E5" s="17">
        <v>46178</v>
      </c>
      <c r="F5" s="18">
        <v>10</v>
      </c>
      <c r="G5" s="18">
        <v>12670</v>
      </c>
      <c r="H5" s="15" t="s">
        <v>371</v>
      </c>
      <c r="I5" s="36" t="s">
        <v>372</v>
      </c>
    </row>
    <row r="6" spans="1:9" ht="29">
      <c r="A6" s="15" t="s">
        <v>373</v>
      </c>
      <c r="B6" s="15" t="s">
        <v>95</v>
      </c>
      <c r="C6" s="15" t="s">
        <v>331</v>
      </c>
      <c r="D6" s="17">
        <v>46163</v>
      </c>
      <c r="E6" s="17">
        <v>46175</v>
      </c>
      <c r="F6" s="18">
        <v>100</v>
      </c>
      <c r="G6" s="18">
        <v>123700</v>
      </c>
      <c r="H6" s="15" t="s">
        <v>374</v>
      </c>
      <c r="I6" s="36" t="s">
        <v>372</v>
      </c>
    </row>
    <row r="7" spans="1:9" ht="29">
      <c r="A7" s="15" t="s">
        <v>375</v>
      </c>
      <c r="B7" s="15" t="s">
        <v>150</v>
      </c>
      <c r="C7" s="15" t="s">
        <v>334</v>
      </c>
      <c r="D7" s="17">
        <v>46163</v>
      </c>
      <c r="E7" s="17">
        <v>46174</v>
      </c>
      <c r="F7" s="18">
        <v>30</v>
      </c>
      <c r="G7" s="18">
        <v>40710</v>
      </c>
      <c r="H7" s="15" t="s">
        <v>376</v>
      </c>
      <c r="I7" s="20" t="s">
        <v>377</v>
      </c>
    </row>
    <row r="8" spans="1:9" ht="29">
      <c r="A8" s="15" t="s">
        <v>378</v>
      </c>
      <c r="B8" s="15" t="s">
        <v>92</v>
      </c>
      <c r="C8" s="15" t="s">
        <v>343</v>
      </c>
      <c r="D8" s="17">
        <v>46163</v>
      </c>
      <c r="E8" s="17">
        <v>46170</v>
      </c>
      <c r="F8" s="18">
        <v>20</v>
      </c>
      <c r="G8" s="18">
        <v>18980</v>
      </c>
      <c r="H8" s="15" t="s">
        <v>379</v>
      </c>
      <c r="I8" s="36" t="s">
        <v>372</v>
      </c>
    </row>
    <row r="9" spans="1:9" ht="29">
      <c r="A9" s="15" t="s">
        <v>380</v>
      </c>
      <c r="B9" s="15" t="s">
        <v>112</v>
      </c>
      <c r="C9" s="15" t="s">
        <v>342</v>
      </c>
      <c r="D9" s="17">
        <v>46162</v>
      </c>
      <c r="E9" s="17">
        <v>46171</v>
      </c>
      <c r="F9" s="18">
        <v>100</v>
      </c>
      <c r="G9" s="18">
        <v>91500</v>
      </c>
      <c r="H9" s="15" t="s">
        <v>381</v>
      </c>
      <c r="I9" s="19" t="s">
        <v>381</v>
      </c>
    </row>
    <row r="10" spans="1:9" ht="29">
      <c r="A10" s="15" t="s">
        <v>382</v>
      </c>
      <c r="B10" s="15" t="s">
        <v>234</v>
      </c>
      <c r="C10" s="15" t="s">
        <v>341</v>
      </c>
      <c r="D10" s="17">
        <v>46162</v>
      </c>
      <c r="E10" s="17">
        <v>46173</v>
      </c>
      <c r="F10" s="18">
        <v>100</v>
      </c>
      <c r="G10" s="18">
        <v>141400</v>
      </c>
      <c r="H10" s="15" t="s">
        <v>379</v>
      </c>
      <c r="I10" s="36" t="s">
        <v>372</v>
      </c>
    </row>
    <row r="11" spans="1:9" ht="29">
      <c r="A11" s="15" t="s">
        <v>383</v>
      </c>
      <c r="B11" s="15" t="s">
        <v>92</v>
      </c>
      <c r="C11" s="15" t="s">
        <v>320</v>
      </c>
      <c r="D11" s="17">
        <v>46161</v>
      </c>
      <c r="E11" s="17">
        <v>46169</v>
      </c>
      <c r="F11" s="18">
        <v>10</v>
      </c>
      <c r="G11" s="18">
        <v>8340</v>
      </c>
      <c r="H11" s="15" t="s">
        <v>381</v>
      </c>
      <c r="I11" s="19" t="s">
        <v>381</v>
      </c>
    </row>
    <row r="12" spans="1:9" ht="29">
      <c r="A12" s="15" t="s">
        <v>384</v>
      </c>
      <c r="B12" s="15" t="s">
        <v>248</v>
      </c>
      <c r="C12" s="15" t="s">
        <v>319</v>
      </c>
      <c r="D12" s="17">
        <v>46159</v>
      </c>
      <c r="E12" s="17">
        <v>46172</v>
      </c>
      <c r="F12" s="18">
        <v>30</v>
      </c>
      <c r="G12" s="18">
        <v>41670</v>
      </c>
      <c r="H12" s="15" t="s">
        <v>374</v>
      </c>
      <c r="I12" s="36" t="s">
        <v>372</v>
      </c>
    </row>
    <row r="13" spans="1:9" ht="29">
      <c r="A13" s="15" t="s">
        <v>385</v>
      </c>
      <c r="B13" s="15" t="s">
        <v>92</v>
      </c>
      <c r="C13" s="15" t="s">
        <v>296</v>
      </c>
      <c r="D13" s="17">
        <v>46159</v>
      </c>
      <c r="E13" s="17">
        <v>46168</v>
      </c>
      <c r="F13" s="18">
        <v>80</v>
      </c>
      <c r="G13" s="18">
        <v>118800</v>
      </c>
      <c r="H13" s="15" t="s">
        <v>379</v>
      </c>
      <c r="I13" s="36" t="s">
        <v>372</v>
      </c>
    </row>
    <row r="14" spans="1:9" ht="29">
      <c r="A14" s="15" t="s">
        <v>386</v>
      </c>
      <c r="B14" s="15" t="s">
        <v>82</v>
      </c>
      <c r="C14" s="15" t="s">
        <v>323</v>
      </c>
      <c r="D14" s="17">
        <v>46158</v>
      </c>
      <c r="E14" s="17">
        <v>46171</v>
      </c>
      <c r="F14" s="18">
        <v>30</v>
      </c>
      <c r="G14" s="18">
        <v>27030</v>
      </c>
      <c r="H14" s="15" t="s">
        <v>381</v>
      </c>
      <c r="I14" s="19" t="s">
        <v>381</v>
      </c>
    </row>
    <row r="15" spans="1:9" ht="29">
      <c r="A15" s="15" t="s">
        <v>387</v>
      </c>
      <c r="B15" s="15" t="s">
        <v>110</v>
      </c>
      <c r="C15" s="15" t="s">
        <v>323</v>
      </c>
      <c r="D15" s="17">
        <v>46156</v>
      </c>
      <c r="E15" s="17">
        <v>46167</v>
      </c>
      <c r="F15" s="18">
        <v>50</v>
      </c>
      <c r="G15" s="18">
        <v>65250</v>
      </c>
      <c r="H15" s="15" t="s">
        <v>376</v>
      </c>
      <c r="I15" s="20" t="s">
        <v>377</v>
      </c>
    </row>
    <row r="16" spans="1:9" ht="29">
      <c r="A16" s="15" t="s">
        <v>388</v>
      </c>
      <c r="B16" s="15" t="s">
        <v>92</v>
      </c>
      <c r="C16" s="15" t="s">
        <v>280</v>
      </c>
      <c r="D16" s="17">
        <v>46156</v>
      </c>
      <c r="E16" s="17">
        <v>46163</v>
      </c>
      <c r="F16" s="18">
        <v>80</v>
      </c>
      <c r="G16" s="18">
        <v>95600</v>
      </c>
      <c r="H16" s="15" t="s">
        <v>379</v>
      </c>
      <c r="I16" s="30" t="s">
        <v>389</v>
      </c>
    </row>
    <row r="17" spans="1:9" ht="29">
      <c r="A17" s="15" t="s">
        <v>390</v>
      </c>
      <c r="B17" s="15" t="s">
        <v>234</v>
      </c>
      <c r="C17" s="15" t="s">
        <v>341</v>
      </c>
      <c r="D17" s="17">
        <v>46154</v>
      </c>
      <c r="E17" s="17">
        <v>46161</v>
      </c>
      <c r="F17" s="18">
        <v>20</v>
      </c>
      <c r="G17" s="18">
        <v>29680</v>
      </c>
      <c r="H17" s="15" t="s">
        <v>376</v>
      </c>
      <c r="I17" s="30" t="s">
        <v>389</v>
      </c>
    </row>
    <row r="18" spans="1:9" ht="29">
      <c r="A18" s="15" t="s">
        <v>391</v>
      </c>
      <c r="B18" s="15" t="s">
        <v>192</v>
      </c>
      <c r="C18" s="15" t="s">
        <v>302</v>
      </c>
      <c r="D18" s="17">
        <v>46153</v>
      </c>
      <c r="E18" s="17">
        <v>46163</v>
      </c>
      <c r="F18" s="18">
        <v>30</v>
      </c>
      <c r="G18" s="18">
        <v>25050</v>
      </c>
      <c r="H18" s="15" t="s">
        <v>381</v>
      </c>
      <c r="I18" s="30" t="s">
        <v>389</v>
      </c>
    </row>
    <row r="19" spans="1:9" ht="29">
      <c r="A19" s="15" t="s">
        <v>392</v>
      </c>
      <c r="B19" s="15" t="s">
        <v>95</v>
      </c>
      <c r="C19" s="15" t="s">
        <v>313</v>
      </c>
      <c r="D19" s="17">
        <v>46153</v>
      </c>
      <c r="E19" s="17">
        <v>46166</v>
      </c>
      <c r="F19" s="18">
        <v>50</v>
      </c>
      <c r="G19" s="18">
        <v>51100</v>
      </c>
      <c r="H19" s="15" t="s">
        <v>393</v>
      </c>
      <c r="I19" s="36" t="s">
        <v>372</v>
      </c>
    </row>
    <row r="20" spans="1:9" ht="29">
      <c r="A20" s="15" t="s">
        <v>394</v>
      </c>
      <c r="B20" s="15" t="s">
        <v>105</v>
      </c>
      <c r="C20" s="15" t="s">
        <v>297</v>
      </c>
      <c r="D20" s="17">
        <v>46152</v>
      </c>
      <c r="E20" s="17">
        <v>46163</v>
      </c>
      <c r="F20" s="18">
        <v>10</v>
      </c>
      <c r="G20" s="18">
        <v>13030</v>
      </c>
      <c r="H20" s="15" t="s">
        <v>374</v>
      </c>
      <c r="I20" s="30" t="s">
        <v>389</v>
      </c>
    </row>
    <row r="21" spans="1:9" ht="29">
      <c r="A21" s="15" t="s">
        <v>395</v>
      </c>
      <c r="B21" s="15" t="s">
        <v>150</v>
      </c>
      <c r="C21" s="15" t="s">
        <v>326</v>
      </c>
      <c r="D21" s="17">
        <v>46152</v>
      </c>
      <c r="E21" s="17">
        <v>46163</v>
      </c>
      <c r="F21" s="18">
        <v>10</v>
      </c>
      <c r="G21" s="18">
        <v>8340</v>
      </c>
      <c r="H21" s="15" t="s">
        <v>374</v>
      </c>
      <c r="I21" s="30" t="s">
        <v>389</v>
      </c>
    </row>
    <row r="22" spans="1:9" ht="29">
      <c r="A22" s="15" t="s">
        <v>396</v>
      </c>
      <c r="B22" s="15" t="s">
        <v>150</v>
      </c>
      <c r="C22" s="15" t="s">
        <v>272</v>
      </c>
      <c r="D22" s="17">
        <v>46145</v>
      </c>
      <c r="E22" s="17">
        <v>46158</v>
      </c>
      <c r="F22" s="18">
        <v>80</v>
      </c>
      <c r="G22" s="18">
        <v>78880</v>
      </c>
      <c r="H22" s="15" t="s">
        <v>374</v>
      </c>
      <c r="I22" s="30" t="s">
        <v>389</v>
      </c>
    </row>
    <row r="23" spans="1:9" ht="29">
      <c r="A23" s="15" t="s">
        <v>397</v>
      </c>
      <c r="B23" s="15" t="s">
        <v>144</v>
      </c>
      <c r="C23" s="15" t="s">
        <v>327</v>
      </c>
      <c r="D23" s="17">
        <v>46144</v>
      </c>
      <c r="E23" s="17">
        <v>46151</v>
      </c>
      <c r="F23" s="18">
        <v>20</v>
      </c>
      <c r="G23" s="18">
        <v>29500</v>
      </c>
      <c r="H23" s="15" t="s">
        <v>381</v>
      </c>
      <c r="I23" s="30" t="s">
        <v>389</v>
      </c>
    </row>
    <row r="24" spans="1:9" ht="29">
      <c r="A24" s="15" t="s">
        <v>398</v>
      </c>
      <c r="B24" s="15" t="s">
        <v>99</v>
      </c>
      <c r="C24" s="15" t="s">
        <v>331</v>
      </c>
      <c r="D24" s="17">
        <v>46143</v>
      </c>
      <c r="E24" s="17">
        <v>46152</v>
      </c>
      <c r="F24" s="18">
        <v>100</v>
      </c>
      <c r="G24" s="18">
        <v>111600</v>
      </c>
      <c r="H24" s="15" t="s">
        <v>379</v>
      </c>
      <c r="I24" s="30" t="s">
        <v>389</v>
      </c>
    </row>
    <row r="25" spans="1:9" ht="29">
      <c r="A25" s="15" t="s">
        <v>399</v>
      </c>
      <c r="B25" s="15" t="s">
        <v>234</v>
      </c>
      <c r="C25" s="15" t="s">
        <v>353</v>
      </c>
      <c r="D25" s="17">
        <v>46143</v>
      </c>
      <c r="E25" s="17">
        <v>46152</v>
      </c>
      <c r="F25" s="18">
        <v>20</v>
      </c>
      <c r="G25" s="18">
        <v>20440</v>
      </c>
      <c r="H25" s="15" t="s">
        <v>374</v>
      </c>
      <c r="I25" s="30" t="s">
        <v>389</v>
      </c>
    </row>
    <row r="26" spans="1:9" ht="29">
      <c r="A26" s="15" t="s">
        <v>400</v>
      </c>
      <c r="B26" s="15" t="s">
        <v>250</v>
      </c>
      <c r="C26" s="15" t="s">
        <v>319</v>
      </c>
      <c r="D26" s="17">
        <v>46142</v>
      </c>
      <c r="E26" s="17">
        <v>46149</v>
      </c>
      <c r="F26" s="18">
        <v>20</v>
      </c>
      <c r="G26" s="18">
        <v>20240</v>
      </c>
      <c r="H26" s="15" t="s">
        <v>371</v>
      </c>
      <c r="I26" s="30" t="s">
        <v>389</v>
      </c>
    </row>
    <row r="27" spans="1:9" ht="29">
      <c r="A27" s="15" t="s">
        <v>401</v>
      </c>
      <c r="B27" s="15" t="s">
        <v>234</v>
      </c>
      <c r="C27" s="15" t="s">
        <v>341</v>
      </c>
      <c r="D27" s="17">
        <v>46141</v>
      </c>
      <c r="E27" s="17">
        <v>46152</v>
      </c>
      <c r="F27" s="18">
        <v>50</v>
      </c>
      <c r="G27" s="18">
        <v>73750</v>
      </c>
      <c r="H27" s="15" t="s">
        <v>381</v>
      </c>
      <c r="I27" s="30" t="s">
        <v>389</v>
      </c>
    </row>
    <row r="28" spans="1:9" ht="29">
      <c r="A28" s="15" t="s">
        <v>402</v>
      </c>
      <c r="B28" s="15" t="s">
        <v>232</v>
      </c>
      <c r="C28" s="15" t="s">
        <v>325</v>
      </c>
      <c r="D28" s="17">
        <v>46141</v>
      </c>
      <c r="E28" s="17">
        <v>46152</v>
      </c>
      <c r="F28" s="18">
        <v>100</v>
      </c>
      <c r="G28" s="18">
        <v>97200</v>
      </c>
      <c r="H28" s="15" t="s">
        <v>393</v>
      </c>
      <c r="I28" s="30" t="s">
        <v>389</v>
      </c>
    </row>
    <row r="29" spans="1:9" ht="29">
      <c r="A29" s="15" t="s">
        <v>403</v>
      </c>
      <c r="B29" s="15" t="s">
        <v>88</v>
      </c>
      <c r="C29" s="15" t="s">
        <v>323</v>
      </c>
      <c r="D29" s="17">
        <v>46140</v>
      </c>
      <c r="E29" s="17">
        <v>46149</v>
      </c>
      <c r="F29" s="18">
        <v>20</v>
      </c>
      <c r="G29" s="18">
        <v>22460</v>
      </c>
      <c r="H29" s="15" t="s">
        <v>374</v>
      </c>
      <c r="I29" s="30" t="s">
        <v>389</v>
      </c>
    </row>
    <row r="30" spans="1:9" ht="29">
      <c r="A30" s="15" t="s">
        <v>404</v>
      </c>
      <c r="B30" s="15" t="s">
        <v>195</v>
      </c>
      <c r="C30" s="15" t="s">
        <v>310</v>
      </c>
      <c r="D30" s="17">
        <v>46140</v>
      </c>
      <c r="E30" s="17">
        <v>46153</v>
      </c>
      <c r="F30" s="18">
        <v>10</v>
      </c>
      <c r="G30" s="18">
        <v>12670</v>
      </c>
      <c r="H30" s="15" t="s">
        <v>379</v>
      </c>
      <c r="I30" s="30" t="s">
        <v>389</v>
      </c>
    </row>
    <row r="31" spans="1:9" ht="29">
      <c r="A31" s="15" t="s">
        <v>405</v>
      </c>
      <c r="B31" s="15" t="s">
        <v>95</v>
      </c>
      <c r="C31" s="15" t="s">
        <v>345</v>
      </c>
      <c r="D31" s="17">
        <v>46140</v>
      </c>
      <c r="E31" s="17">
        <v>46154</v>
      </c>
      <c r="F31" s="18">
        <v>80</v>
      </c>
      <c r="G31" s="18">
        <v>73920</v>
      </c>
      <c r="H31" s="15" t="s">
        <v>379</v>
      </c>
      <c r="I31" s="30" t="s">
        <v>389</v>
      </c>
    </row>
    <row r="32" spans="1:9" ht="29">
      <c r="A32" s="15" t="s">
        <v>406</v>
      </c>
      <c r="B32" s="15" t="s">
        <v>95</v>
      </c>
      <c r="C32" s="15" t="s">
        <v>346</v>
      </c>
      <c r="D32" s="17">
        <v>46140</v>
      </c>
      <c r="E32" s="17">
        <v>46150</v>
      </c>
      <c r="F32" s="18">
        <v>80</v>
      </c>
      <c r="G32" s="18">
        <v>116880</v>
      </c>
      <c r="H32" s="15" t="s">
        <v>393</v>
      </c>
      <c r="I32" s="30" t="s">
        <v>389</v>
      </c>
    </row>
    <row r="33" spans="1:9" ht="29">
      <c r="A33" s="15" t="s">
        <v>407</v>
      </c>
      <c r="B33" s="15" t="s">
        <v>99</v>
      </c>
      <c r="C33" s="15" t="s">
        <v>346</v>
      </c>
      <c r="D33" s="17">
        <v>46140</v>
      </c>
      <c r="E33" s="17">
        <v>46150</v>
      </c>
      <c r="F33" s="18">
        <v>20</v>
      </c>
      <c r="G33" s="18">
        <v>26680</v>
      </c>
      <c r="H33" s="15" t="s">
        <v>381</v>
      </c>
      <c r="I33" s="30" t="s">
        <v>389</v>
      </c>
    </row>
    <row r="34" spans="1:9" ht="29">
      <c r="A34" s="15" t="s">
        <v>408</v>
      </c>
      <c r="B34" s="15" t="s">
        <v>150</v>
      </c>
      <c r="C34" s="15" t="s">
        <v>344</v>
      </c>
      <c r="D34" s="17">
        <v>46140</v>
      </c>
      <c r="E34" s="17">
        <v>46149</v>
      </c>
      <c r="F34" s="18">
        <v>10</v>
      </c>
      <c r="G34" s="18">
        <v>13200</v>
      </c>
      <c r="H34" s="15" t="s">
        <v>374</v>
      </c>
      <c r="I34" s="30" t="s">
        <v>389</v>
      </c>
    </row>
  </sheetData>
  <mergeCells count="2">
    <mergeCell ref="A1:I1"/>
    <mergeCell ref="A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4721-83D9-44E6-B187-17DEABA00AA5}">
  <dimension ref="A1:J124"/>
  <sheetViews>
    <sheetView topLeftCell="A118" workbookViewId="0">
      <selection activeCell="E6" sqref="E6"/>
    </sheetView>
  </sheetViews>
  <sheetFormatPr defaultRowHeight="16.5"/>
  <cols>
    <col min="1" max="1" width="18.1640625" style="26" customWidth="1"/>
    <col min="2" max="2" width="11.4140625" style="2" customWidth="1"/>
    <col min="3" max="3" width="28.5" style="2" customWidth="1"/>
    <col min="4" max="4" width="15.08203125" style="26" customWidth="1"/>
    <col min="5" max="6" width="11.4140625" style="26" customWidth="1"/>
    <col min="7" max="8" width="11.4140625" style="12" customWidth="1"/>
    <col min="9" max="9" width="16.58203125" style="12" customWidth="1"/>
    <col min="10" max="10" width="11.4140625" style="2" customWidth="1"/>
    <col min="11" max="16384" width="8.6640625" style="2"/>
  </cols>
  <sheetData>
    <row r="1" spans="1:10" s="6" customFormat="1" ht="32" customHeight="1">
      <c r="A1" s="24" t="s">
        <v>59</v>
      </c>
      <c r="D1" s="24"/>
      <c r="E1" s="24"/>
      <c r="F1" s="24"/>
      <c r="G1" s="14"/>
      <c r="H1" s="14"/>
      <c r="I1" s="14"/>
    </row>
    <row r="2" spans="1:10">
      <c r="A2" s="38" t="s">
        <v>60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ht="32" customHeight="1">
      <c r="A4" s="25" t="s">
        <v>61</v>
      </c>
      <c r="B4" s="4" t="s">
        <v>26</v>
      </c>
      <c r="C4" s="4" t="s">
        <v>27</v>
      </c>
      <c r="D4" s="25" t="s">
        <v>62</v>
      </c>
      <c r="E4" s="25" t="s">
        <v>63</v>
      </c>
      <c r="F4" s="25" t="s">
        <v>44</v>
      </c>
      <c r="G4" s="4" t="s">
        <v>64</v>
      </c>
      <c r="H4" s="4" t="s">
        <v>65</v>
      </c>
      <c r="I4" s="4" t="s">
        <v>66</v>
      </c>
      <c r="J4" s="4" t="s">
        <v>48</v>
      </c>
    </row>
    <row r="5" spans="1:10" ht="37.5" customHeight="1">
      <c r="A5" s="16" t="s">
        <v>409</v>
      </c>
      <c r="B5" s="15" t="s">
        <v>88</v>
      </c>
      <c r="C5" s="16" t="s">
        <v>89</v>
      </c>
      <c r="D5" s="16" t="s">
        <v>410</v>
      </c>
      <c r="E5" s="37">
        <v>46164</v>
      </c>
      <c r="F5" s="37">
        <v>46884</v>
      </c>
      <c r="G5" s="18">
        <v>30000</v>
      </c>
      <c r="H5" s="18">
        <v>29962</v>
      </c>
      <c r="I5" s="18">
        <v>25468</v>
      </c>
      <c r="J5" s="19" t="s">
        <v>271</v>
      </c>
    </row>
    <row r="6" spans="1:10" ht="37.5" customHeight="1">
      <c r="A6" s="16" t="s">
        <v>411</v>
      </c>
      <c r="B6" s="15" t="s">
        <v>105</v>
      </c>
      <c r="C6" s="16" t="s">
        <v>106</v>
      </c>
      <c r="D6" s="16" t="s">
        <v>394</v>
      </c>
      <c r="E6" s="37">
        <v>46164</v>
      </c>
      <c r="F6" s="37">
        <v>47244</v>
      </c>
      <c r="G6" s="18">
        <v>3000</v>
      </c>
      <c r="H6" s="18">
        <v>2997</v>
      </c>
      <c r="I6" s="18">
        <v>1259</v>
      </c>
      <c r="J6" s="19" t="s">
        <v>271</v>
      </c>
    </row>
    <row r="7" spans="1:10" ht="37.5" customHeight="1">
      <c r="A7" s="16" t="s">
        <v>412</v>
      </c>
      <c r="B7" s="15" t="s">
        <v>150</v>
      </c>
      <c r="C7" s="16" t="s">
        <v>151</v>
      </c>
      <c r="D7" s="16" t="s">
        <v>375</v>
      </c>
      <c r="E7" s="37">
        <v>46164</v>
      </c>
      <c r="F7" s="37">
        <v>46884</v>
      </c>
      <c r="G7" s="18">
        <v>10000</v>
      </c>
      <c r="H7" s="18">
        <v>9989</v>
      </c>
      <c r="I7" s="18">
        <v>7791</v>
      </c>
      <c r="J7" s="19" t="s">
        <v>271</v>
      </c>
    </row>
    <row r="8" spans="1:10" ht="37.5" customHeight="1">
      <c r="A8" s="16" t="s">
        <v>413</v>
      </c>
      <c r="B8" s="15" t="s">
        <v>133</v>
      </c>
      <c r="C8" s="16" t="s">
        <v>134</v>
      </c>
      <c r="D8" s="16" t="s">
        <v>370</v>
      </c>
      <c r="E8" s="37">
        <v>46164</v>
      </c>
      <c r="F8" s="37">
        <v>46884</v>
      </c>
      <c r="G8" s="18">
        <v>15000</v>
      </c>
      <c r="H8" s="18">
        <v>14989</v>
      </c>
      <c r="I8" s="18">
        <v>11691</v>
      </c>
      <c r="J8" s="19" t="s">
        <v>271</v>
      </c>
    </row>
    <row r="9" spans="1:10" ht="37.5" customHeight="1">
      <c r="A9" s="16" t="s">
        <v>414</v>
      </c>
      <c r="B9" s="15" t="s">
        <v>232</v>
      </c>
      <c r="C9" s="16" t="s">
        <v>233</v>
      </c>
      <c r="D9" s="16" t="s">
        <v>415</v>
      </c>
      <c r="E9" s="37">
        <v>46162</v>
      </c>
      <c r="F9" s="37">
        <v>46702</v>
      </c>
      <c r="G9" s="18">
        <v>10000</v>
      </c>
      <c r="H9" s="18">
        <v>9955</v>
      </c>
      <c r="I9" s="18">
        <v>238920</v>
      </c>
      <c r="J9" s="19" t="s">
        <v>271</v>
      </c>
    </row>
    <row r="10" spans="1:10" ht="37.5" customHeight="1">
      <c r="A10" s="16" t="s">
        <v>416</v>
      </c>
      <c r="B10" s="15" t="s">
        <v>92</v>
      </c>
      <c r="C10" s="16" t="s">
        <v>93</v>
      </c>
      <c r="D10" s="16" t="s">
        <v>388</v>
      </c>
      <c r="E10" s="37">
        <v>46161</v>
      </c>
      <c r="F10" s="37">
        <v>46881</v>
      </c>
      <c r="G10" s="18">
        <v>8000</v>
      </c>
      <c r="H10" s="18">
        <v>7951</v>
      </c>
      <c r="I10" s="18">
        <v>9541</v>
      </c>
      <c r="J10" s="19" t="s">
        <v>271</v>
      </c>
    </row>
    <row r="11" spans="1:10" ht="37.5" customHeight="1">
      <c r="A11" s="16" t="s">
        <v>417</v>
      </c>
      <c r="B11" s="15" t="s">
        <v>152</v>
      </c>
      <c r="C11" s="16" t="s">
        <v>153</v>
      </c>
      <c r="D11" s="16" t="s">
        <v>418</v>
      </c>
      <c r="E11" s="37">
        <v>46158</v>
      </c>
      <c r="F11" s="37">
        <v>46878</v>
      </c>
      <c r="G11" s="18">
        <v>15000</v>
      </c>
      <c r="H11" s="18">
        <v>14931</v>
      </c>
      <c r="I11" s="18">
        <v>8660</v>
      </c>
      <c r="J11" s="19" t="s">
        <v>271</v>
      </c>
    </row>
    <row r="12" spans="1:10" ht="37.5" customHeight="1">
      <c r="A12" s="16" t="s">
        <v>419</v>
      </c>
      <c r="B12" s="15" t="s">
        <v>105</v>
      </c>
      <c r="C12" s="16" t="s">
        <v>106</v>
      </c>
      <c r="D12" s="16" t="s">
        <v>420</v>
      </c>
      <c r="E12" s="37">
        <v>46157</v>
      </c>
      <c r="F12" s="37">
        <v>47237</v>
      </c>
      <c r="G12" s="18">
        <v>3000</v>
      </c>
      <c r="H12" s="18">
        <v>2979</v>
      </c>
      <c r="I12" s="18">
        <v>1251</v>
      </c>
      <c r="J12" s="19" t="s">
        <v>271</v>
      </c>
    </row>
    <row r="13" spans="1:10" ht="37.5" customHeight="1">
      <c r="A13" s="16" t="s">
        <v>421</v>
      </c>
      <c r="B13" s="15" t="s">
        <v>224</v>
      </c>
      <c r="C13" s="16" t="s">
        <v>225</v>
      </c>
      <c r="D13" s="16" t="s">
        <v>422</v>
      </c>
      <c r="E13" s="37">
        <v>46156</v>
      </c>
      <c r="F13" s="37">
        <v>46876</v>
      </c>
      <c r="G13" s="18">
        <v>20000</v>
      </c>
      <c r="H13" s="18">
        <v>19869</v>
      </c>
      <c r="I13" s="18">
        <v>20862</v>
      </c>
      <c r="J13" s="19" t="s">
        <v>271</v>
      </c>
    </row>
    <row r="14" spans="1:10" ht="37.5" customHeight="1">
      <c r="A14" s="16" t="s">
        <v>423</v>
      </c>
      <c r="B14" s="15" t="s">
        <v>236</v>
      </c>
      <c r="C14" s="16" t="s">
        <v>237</v>
      </c>
      <c r="D14" s="16" t="s">
        <v>424</v>
      </c>
      <c r="E14" s="37">
        <v>46154</v>
      </c>
      <c r="F14" s="37">
        <v>46694</v>
      </c>
      <c r="G14" s="18">
        <v>30000</v>
      </c>
      <c r="H14" s="18">
        <v>29461</v>
      </c>
      <c r="I14" s="18">
        <v>721794</v>
      </c>
      <c r="J14" s="19" t="s">
        <v>271</v>
      </c>
    </row>
    <row r="15" spans="1:10" ht="37.5" customHeight="1">
      <c r="A15" s="16" t="s">
        <v>425</v>
      </c>
      <c r="B15" s="15" t="s">
        <v>92</v>
      </c>
      <c r="C15" s="16" t="s">
        <v>93</v>
      </c>
      <c r="D15" s="16" t="s">
        <v>426</v>
      </c>
      <c r="E15" s="37">
        <v>46153</v>
      </c>
      <c r="F15" s="37">
        <v>46873</v>
      </c>
      <c r="G15" s="18">
        <v>10000</v>
      </c>
      <c r="H15" s="18">
        <v>9888</v>
      </c>
      <c r="I15" s="18">
        <v>11866</v>
      </c>
      <c r="J15" s="19" t="s">
        <v>271</v>
      </c>
    </row>
    <row r="16" spans="1:10" ht="37.5" customHeight="1">
      <c r="A16" s="16" t="s">
        <v>427</v>
      </c>
      <c r="B16" s="15" t="s">
        <v>236</v>
      </c>
      <c r="C16" s="16" t="s">
        <v>237</v>
      </c>
      <c r="D16" s="16" t="s">
        <v>428</v>
      </c>
      <c r="E16" s="37">
        <v>46153</v>
      </c>
      <c r="F16" s="37">
        <v>46693</v>
      </c>
      <c r="G16" s="18">
        <v>8000</v>
      </c>
      <c r="H16" s="18">
        <v>7803</v>
      </c>
      <c r="I16" s="18">
        <v>191174</v>
      </c>
      <c r="J16" s="19" t="s">
        <v>271</v>
      </c>
    </row>
    <row r="17" spans="1:10" ht="37.5" customHeight="1">
      <c r="A17" s="16" t="s">
        <v>429</v>
      </c>
      <c r="B17" s="15" t="s">
        <v>103</v>
      </c>
      <c r="C17" s="16" t="s">
        <v>104</v>
      </c>
      <c r="D17" s="16" t="s">
        <v>430</v>
      </c>
      <c r="E17" s="37">
        <v>46151</v>
      </c>
      <c r="F17" s="37">
        <v>47231</v>
      </c>
      <c r="G17" s="18">
        <v>20000</v>
      </c>
      <c r="H17" s="18">
        <v>19825</v>
      </c>
      <c r="I17" s="18">
        <v>5551</v>
      </c>
      <c r="J17" s="19" t="s">
        <v>271</v>
      </c>
    </row>
    <row r="18" spans="1:10" ht="37.5" customHeight="1">
      <c r="A18" s="16" t="s">
        <v>431</v>
      </c>
      <c r="B18" s="15" t="s">
        <v>95</v>
      </c>
      <c r="C18" s="16" t="s">
        <v>96</v>
      </c>
      <c r="D18" s="16" t="s">
        <v>432</v>
      </c>
      <c r="E18" s="37">
        <v>46150</v>
      </c>
      <c r="F18" s="37">
        <v>46870</v>
      </c>
      <c r="G18" s="18">
        <v>10000</v>
      </c>
      <c r="H18" s="18">
        <v>9840</v>
      </c>
      <c r="I18" s="18">
        <v>9348</v>
      </c>
      <c r="J18" s="19" t="s">
        <v>271</v>
      </c>
    </row>
    <row r="19" spans="1:10" ht="37.5" customHeight="1">
      <c r="A19" s="16" t="s">
        <v>433</v>
      </c>
      <c r="B19" s="15" t="s">
        <v>236</v>
      </c>
      <c r="C19" s="16" t="s">
        <v>237</v>
      </c>
      <c r="D19" s="16" t="s">
        <v>434</v>
      </c>
      <c r="E19" s="37">
        <v>46147</v>
      </c>
      <c r="F19" s="37">
        <v>46687</v>
      </c>
      <c r="G19" s="18">
        <v>20000</v>
      </c>
      <c r="H19" s="18">
        <v>19351</v>
      </c>
      <c r="I19" s="18">
        <v>474100</v>
      </c>
      <c r="J19" s="19" t="s">
        <v>271</v>
      </c>
    </row>
    <row r="20" spans="1:10" ht="37.5" customHeight="1">
      <c r="A20" s="16" t="s">
        <v>435</v>
      </c>
      <c r="B20" s="15" t="s">
        <v>195</v>
      </c>
      <c r="C20" s="16" t="s">
        <v>196</v>
      </c>
      <c r="D20" s="16" t="s">
        <v>436</v>
      </c>
      <c r="E20" s="37">
        <v>46147</v>
      </c>
      <c r="F20" s="37">
        <v>47227</v>
      </c>
      <c r="G20" s="18">
        <v>20000</v>
      </c>
      <c r="H20" s="18">
        <v>19674</v>
      </c>
      <c r="I20" s="18">
        <v>5509</v>
      </c>
      <c r="J20" s="19" t="s">
        <v>271</v>
      </c>
    </row>
    <row r="21" spans="1:10" ht="37.5" customHeight="1">
      <c r="A21" s="16" t="s">
        <v>437</v>
      </c>
      <c r="B21" s="15" t="s">
        <v>224</v>
      </c>
      <c r="C21" s="16" t="s">
        <v>225</v>
      </c>
      <c r="D21" s="16" t="s">
        <v>438</v>
      </c>
      <c r="E21" s="37">
        <v>46146</v>
      </c>
      <c r="F21" s="37">
        <v>46866</v>
      </c>
      <c r="G21" s="18">
        <v>3000</v>
      </c>
      <c r="H21" s="18">
        <v>2966</v>
      </c>
      <c r="I21" s="18">
        <v>3114</v>
      </c>
      <c r="J21" s="19" t="s">
        <v>271</v>
      </c>
    </row>
    <row r="22" spans="1:10" ht="37.5" customHeight="1">
      <c r="A22" s="16" t="s">
        <v>439</v>
      </c>
      <c r="B22" s="15" t="s">
        <v>103</v>
      </c>
      <c r="C22" s="16" t="s">
        <v>104</v>
      </c>
      <c r="D22" s="16" t="s">
        <v>440</v>
      </c>
      <c r="E22" s="37">
        <v>46145</v>
      </c>
      <c r="F22" s="37">
        <v>47225</v>
      </c>
      <c r="G22" s="18">
        <v>10000</v>
      </c>
      <c r="H22" s="18">
        <v>9793</v>
      </c>
      <c r="I22" s="18">
        <v>2742</v>
      </c>
      <c r="J22" s="19" t="s">
        <v>271</v>
      </c>
    </row>
    <row r="23" spans="1:10" ht="37.5" customHeight="1">
      <c r="A23" s="16" t="s">
        <v>441</v>
      </c>
      <c r="B23" s="15" t="s">
        <v>92</v>
      </c>
      <c r="C23" s="16" t="s">
        <v>93</v>
      </c>
      <c r="D23" s="16" t="s">
        <v>442</v>
      </c>
      <c r="E23" s="37">
        <v>46145</v>
      </c>
      <c r="F23" s="37">
        <v>46865</v>
      </c>
      <c r="G23" s="18">
        <v>30000</v>
      </c>
      <c r="H23" s="18">
        <v>29612</v>
      </c>
      <c r="I23" s="18">
        <v>35534</v>
      </c>
      <c r="J23" s="19" t="s">
        <v>271</v>
      </c>
    </row>
    <row r="24" spans="1:10" ht="37.5" customHeight="1">
      <c r="A24" s="16" t="s">
        <v>443</v>
      </c>
      <c r="B24" s="15" t="s">
        <v>110</v>
      </c>
      <c r="C24" s="16" t="s">
        <v>111</v>
      </c>
      <c r="D24" s="16" t="s">
        <v>387</v>
      </c>
      <c r="E24" s="37">
        <v>46143</v>
      </c>
      <c r="F24" s="37">
        <v>46863</v>
      </c>
      <c r="G24" s="18">
        <v>10000</v>
      </c>
      <c r="H24" s="18">
        <v>9857</v>
      </c>
      <c r="I24" s="18">
        <v>6703</v>
      </c>
      <c r="J24" s="19" t="s">
        <v>271</v>
      </c>
    </row>
    <row r="25" spans="1:10" ht="37.5" customHeight="1">
      <c r="A25" s="16" t="s">
        <v>444</v>
      </c>
      <c r="B25" s="15" t="s">
        <v>236</v>
      </c>
      <c r="C25" s="16" t="s">
        <v>237</v>
      </c>
      <c r="D25" s="16" t="s">
        <v>445</v>
      </c>
      <c r="E25" s="37">
        <v>46143</v>
      </c>
      <c r="F25" s="37">
        <v>46683</v>
      </c>
      <c r="G25" s="18">
        <v>15000</v>
      </c>
      <c r="H25" s="18">
        <v>14353</v>
      </c>
      <c r="I25" s="18">
        <v>351648</v>
      </c>
      <c r="J25" s="19" t="s">
        <v>271</v>
      </c>
    </row>
    <row r="26" spans="1:10" ht="37.5" customHeight="1">
      <c r="A26" s="16" t="s">
        <v>446</v>
      </c>
      <c r="B26" s="15" t="s">
        <v>232</v>
      </c>
      <c r="C26" s="16" t="s">
        <v>233</v>
      </c>
      <c r="D26" s="16" t="s">
        <v>447</v>
      </c>
      <c r="E26" s="37">
        <v>46141</v>
      </c>
      <c r="F26" s="37">
        <v>46681</v>
      </c>
      <c r="G26" s="18">
        <v>8000</v>
      </c>
      <c r="H26" s="18">
        <v>7613</v>
      </c>
      <c r="I26" s="18">
        <v>182712</v>
      </c>
      <c r="J26" s="19" t="s">
        <v>271</v>
      </c>
    </row>
    <row r="27" spans="1:10" ht="37.5" customHeight="1">
      <c r="A27" s="16" t="s">
        <v>448</v>
      </c>
      <c r="B27" s="15" t="s">
        <v>195</v>
      </c>
      <c r="C27" s="16" t="s">
        <v>196</v>
      </c>
      <c r="D27" s="16" t="s">
        <v>449</v>
      </c>
      <c r="E27" s="37">
        <v>46140</v>
      </c>
      <c r="F27" s="37">
        <v>47220</v>
      </c>
      <c r="G27" s="18">
        <v>15000</v>
      </c>
      <c r="H27" s="18">
        <v>14626</v>
      </c>
      <c r="I27" s="18">
        <v>4095</v>
      </c>
      <c r="J27" s="19" t="s">
        <v>271</v>
      </c>
    </row>
    <row r="28" spans="1:10" ht="37.5" customHeight="1">
      <c r="A28" s="16" t="s">
        <v>450</v>
      </c>
      <c r="B28" s="15" t="s">
        <v>248</v>
      </c>
      <c r="C28" s="16" t="s">
        <v>249</v>
      </c>
      <c r="D28" s="16" t="s">
        <v>451</v>
      </c>
      <c r="E28" s="37">
        <v>46137</v>
      </c>
      <c r="F28" s="37">
        <v>46857</v>
      </c>
      <c r="G28" s="18">
        <v>10000</v>
      </c>
      <c r="H28" s="18">
        <v>9786</v>
      </c>
      <c r="I28" s="18">
        <v>411012</v>
      </c>
      <c r="J28" s="19" t="s">
        <v>271</v>
      </c>
    </row>
    <row r="29" spans="1:10" ht="37.5" customHeight="1">
      <c r="A29" s="16" t="s">
        <v>452</v>
      </c>
      <c r="B29" s="15" t="s">
        <v>142</v>
      </c>
      <c r="C29" s="16" t="s">
        <v>143</v>
      </c>
      <c r="D29" s="16" t="s">
        <v>453</v>
      </c>
      <c r="E29" s="37">
        <v>46136</v>
      </c>
      <c r="F29" s="37">
        <v>46676</v>
      </c>
      <c r="G29" s="18">
        <v>8000</v>
      </c>
      <c r="H29" s="18">
        <v>7632</v>
      </c>
      <c r="I29" s="18">
        <v>14882</v>
      </c>
      <c r="J29" s="19" t="s">
        <v>271</v>
      </c>
    </row>
    <row r="30" spans="1:10" ht="37.5" customHeight="1">
      <c r="A30" s="16" t="s">
        <v>454</v>
      </c>
      <c r="B30" s="15" t="s">
        <v>95</v>
      </c>
      <c r="C30" s="16" t="s">
        <v>96</v>
      </c>
      <c r="D30" s="16" t="s">
        <v>392</v>
      </c>
      <c r="E30" s="37">
        <v>46136</v>
      </c>
      <c r="F30" s="37">
        <v>46856</v>
      </c>
      <c r="G30" s="18">
        <v>8000</v>
      </c>
      <c r="H30" s="18">
        <v>7660</v>
      </c>
      <c r="I30" s="18">
        <v>7277</v>
      </c>
      <c r="J30" s="19" t="s">
        <v>271</v>
      </c>
    </row>
    <row r="31" spans="1:10" ht="37.5" customHeight="1">
      <c r="A31" s="16" t="s">
        <v>455</v>
      </c>
      <c r="B31" s="15" t="s">
        <v>197</v>
      </c>
      <c r="C31" s="16" t="s">
        <v>198</v>
      </c>
      <c r="D31" s="16" t="s">
        <v>456</v>
      </c>
      <c r="E31" s="37">
        <v>46129</v>
      </c>
      <c r="F31" s="37">
        <v>47209</v>
      </c>
      <c r="G31" s="18">
        <v>30000</v>
      </c>
      <c r="H31" s="18">
        <v>29480</v>
      </c>
      <c r="I31" s="18">
        <v>10318</v>
      </c>
      <c r="J31" s="19" t="s">
        <v>271</v>
      </c>
    </row>
    <row r="32" spans="1:10" ht="37.5" customHeight="1">
      <c r="A32" s="16" t="s">
        <v>457</v>
      </c>
      <c r="B32" s="15" t="s">
        <v>88</v>
      </c>
      <c r="C32" s="16" t="s">
        <v>89</v>
      </c>
      <c r="D32" s="16" t="s">
        <v>403</v>
      </c>
      <c r="E32" s="37">
        <v>46128</v>
      </c>
      <c r="F32" s="37">
        <v>46848</v>
      </c>
      <c r="G32" s="18">
        <v>8000</v>
      </c>
      <c r="H32" s="18">
        <v>7593</v>
      </c>
      <c r="I32" s="18">
        <v>6454</v>
      </c>
      <c r="J32" s="19" t="s">
        <v>271</v>
      </c>
    </row>
    <row r="33" spans="1:10" ht="37.5" customHeight="1">
      <c r="A33" s="16" t="s">
        <v>458</v>
      </c>
      <c r="B33" s="15" t="s">
        <v>112</v>
      </c>
      <c r="C33" s="16" t="s">
        <v>113</v>
      </c>
      <c r="D33" s="16" t="s">
        <v>380</v>
      </c>
      <c r="E33" s="37">
        <v>46127</v>
      </c>
      <c r="F33" s="37">
        <v>46847</v>
      </c>
      <c r="G33" s="18">
        <v>8000</v>
      </c>
      <c r="H33" s="18">
        <v>7529</v>
      </c>
      <c r="I33" s="18">
        <v>8282</v>
      </c>
      <c r="J33" s="19" t="s">
        <v>271</v>
      </c>
    </row>
    <row r="34" spans="1:10" ht="37.5" customHeight="1">
      <c r="A34" s="16" t="s">
        <v>459</v>
      </c>
      <c r="B34" s="15" t="s">
        <v>142</v>
      </c>
      <c r="C34" s="16" t="s">
        <v>143</v>
      </c>
      <c r="D34" s="16" t="s">
        <v>460</v>
      </c>
      <c r="E34" s="37">
        <v>46125</v>
      </c>
      <c r="F34" s="37">
        <v>46665</v>
      </c>
      <c r="G34" s="18">
        <v>20000</v>
      </c>
      <c r="H34" s="18">
        <v>18358</v>
      </c>
      <c r="I34" s="18">
        <v>35798</v>
      </c>
      <c r="J34" s="19" t="s">
        <v>271</v>
      </c>
    </row>
    <row r="35" spans="1:10" ht="37.5" customHeight="1">
      <c r="A35" s="16" t="s">
        <v>461</v>
      </c>
      <c r="B35" s="15" t="s">
        <v>234</v>
      </c>
      <c r="C35" s="16" t="s">
        <v>235</v>
      </c>
      <c r="D35" s="16" t="s">
        <v>462</v>
      </c>
      <c r="E35" s="37">
        <v>46123</v>
      </c>
      <c r="F35" s="37">
        <v>46663</v>
      </c>
      <c r="G35" s="18">
        <v>20000</v>
      </c>
      <c r="H35" s="18">
        <v>19053</v>
      </c>
      <c r="I35" s="18">
        <v>362007</v>
      </c>
      <c r="J35" s="19" t="s">
        <v>271</v>
      </c>
    </row>
    <row r="36" spans="1:10" ht="37.5" customHeight="1">
      <c r="A36" s="16" t="s">
        <v>463</v>
      </c>
      <c r="B36" s="15" t="s">
        <v>188</v>
      </c>
      <c r="C36" s="16" t="s">
        <v>189</v>
      </c>
      <c r="D36" s="16" t="s">
        <v>464</v>
      </c>
      <c r="E36" s="37">
        <v>46123</v>
      </c>
      <c r="F36" s="37">
        <v>47203</v>
      </c>
      <c r="G36" s="18">
        <v>30000</v>
      </c>
      <c r="H36" s="18">
        <v>29486</v>
      </c>
      <c r="I36" s="18">
        <v>5307</v>
      </c>
      <c r="J36" s="19" t="s">
        <v>271</v>
      </c>
    </row>
    <row r="37" spans="1:10" ht="37.5" customHeight="1">
      <c r="A37" s="16" t="s">
        <v>465</v>
      </c>
      <c r="B37" s="15" t="s">
        <v>139</v>
      </c>
      <c r="C37" s="16" t="s">
        <v>140</v>
      </c>
      <c r="D37" s="16" t="s">
        <v>466</v>
      </c>
      <c r="E37" s="37">
        <v>46118</v>
      </c>
      <c r="F37" s="37">
        <v>46658</v>
      </c>
      <c r="G37" s="18">
        <v>10000</v>
      </c>
      <c r="H37" s="18">
        <v>9553</v>
      </c>
      <c r="I37" s="18">
        <v>11941</v>
      </c>
      <c r="J37" s="19" t="s">
        <v>271</v>
      </c>
    </row>
    <row r="38" spans="1:10" ht="37.5" customHeight="1">
      <c r="A38" s="16" t="s">
        <v>467</v>
      </c>
      <c r="B38" s="15" t="s">
        <v>245</v>
      </c>
      <c r="C38" s="16" t="s">
        <v>246</v>
      </c>
      <c r="D38" s="16" t="s">
        <v>468</v>
      </c>
      <c r="E38" s="37">
        <v>46117</v>
      </c>
      <c r="F38" s="37">
        <v>46837</v>
      </c>
      <c r="G38" s="18">
        <v>8000</v>
      </c>
      <c r="H38" s="18">
        <v>7480</v>
      </c>
      <c r="I38" s="18">
        <v>187000</v>
      </c>
      <c r="J38" s="19" t="s">
        <v>271</v>
      </c>
    </row>
    <row r="39" spans="1:10" ht="37.5" customHeight="1">
      <c r="A39" s="16" t="s">
        <v>469</v>
      </c>
      <c r="B39" s="15" t="s">
        <v>228</v>
      </c>
      <c r="C39" s="16" t="s">
        <v>229</v>
      </c>
      <c r="D39" s="16" t="s">
        <v>470</v>
      </c>
      <c r="E39" s="37">
        <v>46116</v>
      </c>
      <c r="F39" s="37">
        <v>46656</v>
      </c>
      <c r="G39" s="18">
        <v>20000</v>
      </c>
      <c r="H39" s="18">
        <v>19219</v>
      </c>
      <c r="I39" s="18">
        <v>461256</v>
      </c>
      <c r="J39" s="19" t="s">
        <v>271</v>
      </c>
    </row>
    <row r="40" spans="1:10" ht="37.5" customHeight="1">
      <c r="A40" s="16" t="s">
        <v>471</v>
      </c>
      <c r="B40" s="15" t="s">
        <v>148</v>
      </c>
      <c r="C40" s="16" t="s">
        <v>149</v>
      </c>
      <c r="D40" s="16" t="s">
        <v>472</v>
      </c>
      <c r="E40" s="37">
        <v>46116</v>
      </c>
      <c r="F40" s="37">
        <v>46836</v>
      </c>
      <c r="G40" s="18">
        <v>3000</v>
      </c>
      <c r="H40" s="18">
        <v>2871</v>
      </c>
      <c r="I40" s="18">
        <v>1952</v>
      </c>
      <c r="J40" s="19" t="s">
        <v>271</v>
      </c>
    </row>
    <row r="41" spans="1:10" ht="37.5" customHeight="1">
      <c r="A41" s="16" t="s">
        <v>473</v>
      </c>
      <c r="B41" s="15" t="s">
        <v>152</v>
      </c>
      <c r="C41" s="16" t="s">
        <v>153</v>
      </c>
      <c r="D41" s="16" t="s">
        <v>474</v>
      </c>
      <c r="E41" s="37">
        <v>46111</v>
      </c>
      <c r="F41" s="37">
        <v>46831</v>
      </c>
      <c r="G41" s="18">
        <v>5000</v>
      </c>
      <c r="H41" s="18">
        <v>4637</v>
      </c>
      <c r="I41" s="18">
        <v>2689</v>
      </c>
      <c r="J41" s="19" t="s">
        <v>271</v>
      </c>
    </row>
    <row r="42" spans="1:10" ht="37.5" customHeight="1">
      <c r="A42" s="16" t="s">
        <v>475</v>
      </c>
      <c r="B42" s="15" t="s">
        <v>146</v>
      </c>
      <c r="C42" s="16" t="s">
        <v>147</v>
      </c>
      <c r="D42" s="16" t="s">
        <v>476</v>
      </c>
      <c r="E42" s="37">
        <v>46109</v>
      </c>
      <c r="F42" s="37">
        <v>46829</v>
      </c>
      <c r="G42" s="18">
        <v>10000</v>
      </c>
      <c r="H42" s="18">
        <v>9083</v>
      </c>
      <c r="I42" s="18">
        <v>4360</v>
      </c>
      <c r="J42" s="19" t="s">
        <v>271</v>
      </c>
    </row>
    <row r="43" spans="1:10" ht="37.5" customHeight="1">
      <c r="A43" s="16" t="s">
        <v>477</v>
      </c>
      <c r="B43" s="15" t="s">
        <v>103</v>
      </c>
      <c r="C43" s="16" t="s">
        <v>104</v>
      </c>
      <c r="D43" s="16" t="s">
        <v>478</v>
      </c>
      <c r="E43" s="37">
        <v>46109</v>
      </c>
      <c r="F43" s="37">
        <v>47189</v>
      </c>
      <c r="G43" s="18">
        <v>30000</v>
      </c>
      <c r="H43" s="18">
        <v>28706</v>
      </c>
      <c r="I43" s="18">
        <v>8038</v>
      </c>
      <c r="J43" s="19" t="s">
        <v>271</v>
      </c>
    </row>
    <row r="44" spans="1:10" ht="37.5" customHeight="1">
      <c r="A44" s="16" t="s">
        <v>479</v>
      </c>
      <c r="B44" s="15" t="s">
        <v>110</v>
      </c>
      <c r="C44" s="16" t="s">
        <v>111</v>
      </c>
      <c r="D44" s="16" t="s">
        <v>387</v>
      </c>
      <c r="E44" s="37">
        <v>46107</v>
      </c>
      <c r="F44" s="37">
        <v>46827</v>
      </c>
      <c r="G44" s="18">
        <v>15000</v>
      </c>
      <c r="H44" s="18">
        <v>13676</v>
      </c>
      <c r="I44" s="18">
        <v>9300</v>
      </c>
      <c r="J44" s="19" t="s">
        <v>271</v>
      </c>
    </row>
    <row r="45" spans="1:10" ht="37.5" customHeight="1">
      <c r="A45" s="16" t="s">
        <v>480</v>
      </c>
      <c r="B45" s="15" t="s">
        <v>250</v>
      </c>
      <c r="C45" s="16" t="s">
        <v>251</v>
      </c>
      <c r="D45" s="16" t="s">
        <v>400</v>
      </c>
      <c r="E45" s="37">
        <v>46106</v>
      </c>
      <c r="F45" s="37">
        <v>46826</v>
      </c>
      <c r="G45" s="18">
        <v>5000</v>
      </c>
      <c r="H45" s="18">
        <v>4711</v>
      </c>
      <c r="I45" s="18">
        <v>306215</v>
      </c>
      <c r="J45" s="19" t="s">
        <v>271</v>
      </c>
    </row>
    <row r="46" spans="1:10" ht="37.5" customHeight="1">
      <c r="A46" s="16" t="s">
        <v>481</v>
      </c>
      <c r="B46" s="15" t="s">
        <v>236</v>
      </c>
      <c r="C46" s="16" t="s">
        <v>237</v>
      </c>
      <c r="D46" s="16" t="s">
        <v>482</v>
      </c>
      <c r="E46" s="37">
        <v>46100</v>
      </c>
      <c r="F46" s="37">
        <v>46640</v>
      </c>
      <c r="G46" s="18">
        <v>30000</v>
      </c>
      <c r="H46" s="18">
        <v>27905</v>
      </c>
      <c r="I46" s="18">
        <v>683672</v>
      </c>
      <c r="J46" s="19" t="s">
        <v>271</v>
      </c>
    </row>
    <row r="47" spans="1:10" ht="37.5" customHeight="1">
      <c r="A47" s="16" t="s">
        <v>483</v>
      </c>
      <c r="B47" s="15" t="s">
        <v>224</v>
      </c>
      <c r="C47" s="16" t="s">
        <v>225</v>
      </c>
      <c r="D47" s="16" t="s">
        <v>484</v>
      </c>
      <c r="E47" s="37">
        <v>46099</v>
      </c>
      <c r="F47" s="37">
        <v>46819</v>
      </c>
      <c r="G47" s="18">
        <v>15000</v>
      </c>
      <c r="H47" s="18">
        <v>13738</v>
      </c>
      <c r="I47" s="18">
        <v>14425</v>
      </c>
      <c r="J47" s="19" t="s">
        <v>271</v>
      </c>
    </row>
    <row r="48" spans="1:10" ht="37.5" customHeight="1">
      <c r="A48" s="16" t="s">
        <v>485</v>
      </c>
      <c r="B48" s="15" t="s">
        <v>160</v>
      </c>
      <c r="C48" s="16" t="s">
        <v>161</v>
      </c>
      <c r="D48" s="16" t="s">
        <v>486</v>
      </c>
      <c r="E48" s="37">
        <v>46098</v>
      </c>
      <c r="F48" s="37">
        <v>46818</v>
      </c>
      <c r="G48" s="18">
        <v>20000</v>
      </c>
      <c r="H48" s="18">
        <v>19131</v>
      </c>
      <c r="I48" s="18">
        <v>8609</v>
      </c>
      <c r="J48" s="19" t="s">
        <v>271</v>
      </c>
    </row>
    <row r="49" spans="1:10" ht="37.5" customHeight="1">
      <c r="A49" s="16" t="s">
        <v>487</v>
      </c>
      <c r="B49" s="15" t="s">
        <v>228</v>
      </c>
      <c r="C49" s="16" t="s">
        <v>229</v>
      </c>
      <c r="D49" s="16" t="s">
        <v>488</v>
      </c>
      <c r="E49" s="37">
        <v>46094</v>
      </c>
      <c r="F49" s="37">
        <v>46634</v>
      </c>
      <c r="G49" s="18">
        <v>8000</v>
      </c>
      <c r="H49" s="18">
        <v>7302</v>
      </c>
      <c r="I49" s="18">
        <v>175248</v>
      </c>
      <c r="J49" s="19" t="s">
        <v>271</v>
      </c>
    </row>
    <row r="50" spans="1:10" ht="37.5" customHeight="1">
      <c r="A50" s="16" t="s">
        <v>489</v>
      </c>
      <c r="B50" s="15" t="s">
        <v>95</v>
      </c>
      <c r="C50" s="16" t="s">
        <v>96</v>
      </c>
      <c r="D50" s="16" t="s">
        <v>490</v>
      </c>
      <c r="E50" s="37">
        <v>46094</v>
      </c>
      <c r="F50" s="37">
        <v>46814</v>
      </c>
      <c r="G50" s="18">
        <v>5000</v>
      </c>
      <c r="H50" s="18">
        <v>4659</v>
      </c>
      <c r="I50" s="18">
        <v>4426</v>
      </c>
      <c r="J50" s="19" t="s">
        <v>271</v>
      </c>
    </row>
    <row r="51" spans="1:10" ht="37.5" customHeight="1">
      <c r="A51" s="16" t="s">
        <v>491</v>
      </c>
      <c r="B51" s="15" t="s">
        <v>154</v>
      </c>
      <c r="C51" s="16" t="s">
        <v>155</v>
      </c>
      <c r="D51" s="16" t="s">
        <v>492</v>
      </c>
      <c r="E51" s="37">
        <v>46091</v>
      </c>
      <c r="F51" s="37">
        <v>46811</v>
      </c>
      <c r="G51" s="18">
        <v>30000</v>
      </c>
      <c r="H51" s="18">
        <v>27060</v>
      </c>
      <c r="I51" s="18">
        <v>11365</v>
      </c>
      <c r="J51" s="19" t="s">
        <v>271</v>
      </c>
    </row>
    <row r="52" spans="1:10" ht="37.5" customHeight="1">
      <c r="A52" s="16" t="s">
        <v>493</v>
      </c>
      <c r="B52" s="15" t="s">
        <v>245</v>
      </c>
      <c r="C52" s="16" t="s">
        <v>246</v>
      </c>
      <c r="D52" s="16" t="s">
        <v>494</v>
      </c>
      <c r="E52" s="37">
        <v>46078</v>
      </c>
      <c r="F52" s="37">
        <v>46798</v>
      </c>
      <c r="G52" s="18">
        <v>15000</v>
      </c>
      <c r="H52" s="18">
        <v>13593</v>
      </c>
      <c r="I52" s="18">
        <v>339825</v>
      </c>
      <c r="J52" s="19" t="s">
        <v>271</v>
      </c>
    </row>
    <row r="53" spans="1:10" ht="37.5" customHeight="1">
      <c r="A53" s="16" t="s">
        <v>495</v>
      </c>
      <c r="B53" s="15" t="s">
        <v>236</v>
      </c>
      <c r="C53" s="16" t="s">
        <v>237</v>
      </c>
      <c r="D53" s="16" t="s">
        <v>496</v>
      </c>
      <c r="E53" s="37">
        <v>46075</v>
      </c>
      <c r="F53" s="37">
        <v>46615</v>
      </c>
      <c r="G53" s="18">
        <v>5000</v>
      </c>
      <c r="H53" s="18">
        <v>4222</v>
      </c>
      <c r="I53" s="18">
        <v>103439</v>
      </c>
      <c r="J53" s="19" t="s">
        <v>271</v>
      </c>
    </row>
    <row r="54" spans="1:10" ht="37.5" customHeight="1">
      <c r="A54" s="16" t="s">
        <v>497</v>
      </c>
      <c r="B54" s="15" t="s">
        <v>192</v>
      </c>
      <c r="C54" s="16" t="s">
        <v>193</v>
      </c>
      <c r="D54" s="16" t="s">
        <v>391</v>
      </c>
      <c r="E54" s="37">
        <v>46073</v>
      </c>
      <c r="F54" s="37">
        <v>46793</v>
      </c>
      <c r="G54" s="18">
        <v>30000</v>
      </c>
      <c r="H54" s="18">
        <v>28112</v>
      </c>
      <c r="I54" s="18">
        <v>11807</v>
      </c>
      <c r="J54" s="19" t="s">
        <v>271</v>
      </c>
    </row>
    <row r="55" spans="1:10" ht="37.5" customHeight="1">
      <c r="A55" s="16" t="s">
        <v>498</v>
      </c>
      <c r="B55" s="15" t="s">
        <v>95</v>
      </c>
      <c r="C55" s="16" t="s">
        <v>96</v>
      </c>
      <c r="D55" s="16" t="s">
        <v>499</v>
      </c>
      <c r="E55" s="37">
        <v>46072</v>
      </c>
      <c r="F55" s="37">
        <v>46792</v>
      </c>
      <c r="G55" s="18">
        <v>5000</v>
      </c>
      <c r="H55" s="18">
        <v>4436</v>
      </c>
      <c r="I55" s="18">
        <v>4214</v>
      </c>
      <c r="J55" s="19" t="s">
        <v>271</v>
      </c>
    </row>
    <row r="56" spans="1:10" ht="37.5" customHeight="1">
      <c r="A56" s="16" t="s">
        <v>500</v>
      </c>
      <c r="B56" s="15" t="s">
        <v>232</v>
      </c>
      <c r="C56" s="16" t="s">
        <v>233</v>
      </c>
      <c r="D56" s="16" t="s">
        <v>501</v>
      </c>
      <c r="E56" s="37">
        <v>46066</v>
      </c>
      <c r="F56" s="37">
        <v>46606</v>
      </c>
      <c r="G56" s="18">
        <v>5000</v>
      </c>
      <c r="H56" s="18">
        <v>4266</v>
      </c>
      <c r="I56" s="18">
        <v>102384</v>
      </c>
      <c r="J56" s="19" t="s">
        <v>271</v>
      </c>
    </row>
    <row r="57" spans="1:10" ht="37.5" customHeight="1">
      <c r="A57" s="16" t="s">
        <v>502</v>
      </c>
      <c r="B57" s="15" t="s">
        <v>234</v>
      </c>
      <c r="C57" s="16" t="s">
        <v>235</v>
      </c>
      <c r="D57" s="16" t="s">
        <v>503</v>
      </c>
      <c r="E57" s="37">
        <v>46064</v>
      </c>
      <c r="F57" s="37">
        <v>46604</v>
      </c>
      <c r="G57" s="18">
        <v>5000</v>
      </c>
      <c r="H57" s="18">
        <v>4017</v>
      </c>
      <c r="I57" s="18">
        <v>76323</v>
      </c>
      <c r="J57" s="19" t="s">
        <v>271</v>
      </c>
    </row>
    <row r="58" spans="1:10" ht="37.5" customHeight="1">
      <c r="A58" s="16" t="s">
        <v>504</v>
      </c>
      <c r="B58" s="15" t="s">
        <v>224</v>
      </c>
      <c r="C58" s="16" t="s">
        <v>225</v>
      </c>
      <c r="D58" s="16" t="s">
        <v>505</v>
      </c>
      <c r="E58" s="37">
        <v>46061</v>
      </c>
      <c r="F58" s="37">
        <v>46781</v>
      </c>
      <c r="G58" s="18">
        <v>15000</v>
      </c>
      <c r="H58" s="18">
        <v>12626</v>
      </c>
      <c r="I58" s="18">
        <v>13257</v>
      </c>
      <c r="J58" s="19" t="s">
        <v>271</v>
      </c>
    </row>
    <row r="59" spans="1:10" ht="37.5" customHeight="1">
      <c r="A59" s="16" t="s">
        <v>506</v>
      </c>
      <c r="B59" s="15" t="s">
        <v>110</v>
      </c>
      <c r="C59" s="16" t="s">
        <v>111</v>
      </c>
      <c r="D59" s="16" t="s">
        <v>507</v>
      </c>
      <c r="E59" s="37">
        <v>46051</v>
      </c>
      <c r="F59" s="37">
        <v>46771</v>
      </c>
      <c r="G59" s="18">
        <v>3000</v>
      </c>
      <c r="H59" s="18">
        <v>2479</v>
      </c>
      <c r="I59" s="18">
        <v>1686</v>
      </c>
      <c r="J59" s="19" t="s">
        <v>271</v>
      </c>
    </row>
    <row r="60" spans="1:10" ht="37.5" customHeight="1">
      <c r="A60" s="16" t="s">
        <v>508</v>
      </c>
      <c r="B60" s="15" t="s">
        <v>110</v>
      </c>
      <c r="C60" s="16" t="s">
        <v>111</v>
      </c>
      <c r="D60" s="16" t="s">
        <v>509</v>
      </c>
      <c r="E60" s="37">
        <v>45968</v>
      </c>
      <c r="F60" s="37">
        <v>46688</v>
      </c>
      <c r="G60" s="18">
        <v>8000</v>
      </c>
      <c r="H60" s="18">
        <v>6490</v>
      </c>
      <c r="I60" s="18">
        <v>4413</v>
      </c>
      <c r="J60" s="19" t="s">
        <v>271</v>
      </c>
    </row>
    <row r="61" spans="1:10" ht="37.5" customHeight="1">
      <c r="A61" s="16" t="s">
        <v>510</v>
      </c>
      <c r="B61" s="15" t="s">
        <v>232</v>
      </c>
      <c r="C61" s="16" t="s">
        <v>233</v>
      </c>
      <c r="D61" s="16" t="s">
        <v>402</v>
      </c>
      <c r="E61" s="37">
        <v>45962</v>
      </c>
      <c r="F61" s="37">
        <v>46502</v>
      </c>
      <c r="G61" s="18">
        <v>15000</v>
      </c>
      <c r="H61" s="18">
        <v>8964</v>
      </c>
      <c r="I61" s="18">
        <v>215136</v>
      </c>
      <c r="J61" s="19" t="s">
        <v>271</v>
      </c>
    </row>
    <row r="62" spans="1:10" ht="37.5" customHeight="1">
      <c r="A62" s="16" t="s">
        <v>511</v>
      </c>
      <c r="B62" s="15" t="s">
        <v>245</v>
      </c>
      <c r="C62" s="16" t="s">
        <v>246</v>
      </c>
      <c r="D62" s="16" t="s">
        <v>512</v>
      </c>
      <c r="E62" s="37">
        <v>45925</v>
      </c>
      <c r="F62" s="37">
        <v>46645</v>
      </c>
      <c r="G62" s="18">
        <v>5000</v>
      </c>
      <c r="H62" s="18">
        <v>3721</v>
      </c>
      <c r="I62" s="18">
        <v>93025</v>
      </c>
      <c r="J62" s="19" t="s">
        <v>271</v>
      </c>
    </row>
    <row r="63" spans="1:10" ht="37.5" customHeight="1">
      <c r="A63" s="16" t="s">
        <v>513</v>
      </c>
      <c r="B63" s="15" t="s">
        <v>234</v>
      </c>
      <c r="C63" s="16" t="s">
        <v>235</v>
      </c>
      <c r="D63" s="16" t="s">
        <v>382</v>
      </c>
      <c r="E63" s="37">
        <v>45925</v>
      </c>
      <c r="F63" s="37">
        <v>46465</v>
      </c>
      <c r="G63" s="18">
        <v>10000</v>
      </c>
      <c r="H63" s="18">
        <v>4807</v>
      </c>
      <c r="I63" s="18">
        <v>91333</v>
      </c>
      <c r="J63" s="19" t="s">
        <v>271</v>
      </c>
    </row>
    <row r="64" spans="1:10" ht="37.5" customHeight="1">
      <c r="A64" s="16" t="s">
        <v>514</v>
      </c>
      <c r="B64" s="15" t="s">
        <v>154</v>
      </c>
      <c r="C64" s="16" t="s">
        <v>155</v>
      </c>
      <c r="D64" s="16" t="s">
        <v>515</v>
      </c>
      <c r="E64" s="37">
        <v>45918</v>
      </c>
      <c r="F64" s="37">
        <v>46638</v>
      </c>
      <c r="G64" s="18">
        <v>15000</v>
      </c>
      <c r="H64" s="18">
        <v>8935</v>
      </c>
      <c r="I64" s="18">
        <v>3753</v>
      </c>
      <c r="J64" s="19" t="s">
        <v>271</v>
      </c>
    </row>
    <row r="65" spans="1:10" ht="37.5" customHeight="1">
      <c r="A65" s="16" t="s">
        <v>516</v>
      </c>
      <c r="B65" s="15" t="s">
        <v>192</v>
      </c>
      <c r="C65" s="16" t="s">
        <v>193</v>
      </c>
      <c r="D65" s="16" t="s">
        <v>517</v>
      </c>
      <c r="E65" s="37">
        <v>45853</v>
      </c>
      <c r="F65" s="37">
        <v>46573</v>
      </c>
      <c r="G65" s="18">
        <v>5000</v>
      </c>
      <c r="H65" s="18">
        <v>2703</v>
      </c>
      <c r="I65" s="18">
        <v>1135</v>
      </c>
      <c r="J65" s="19" t="s">
        <v>271</v>
      </c>
    </row>
    <row r="66" spans="1:10" ht="37.5" customHeight="1">
      <c r="A66" s="16" t="s">
        <v>518</v>
      </c>
      <c r="B66" s="15" t="s">
        <v>144</v>
      </c>
      <c r="C66" s="16" t="s">
        <v>145</v>
      </c>
      <c r="D66" s="16" t="s">
        <v>519</v>
      </c>
      <c r="E66" s="37">
        <v>45852</v>
      </c>
      <c r="F66" s="37">
        <v>46392</v>
      </c>
      <c r="G66" s="18">
        <v>15000</v>
      </c>
      <c r="H66" s="18">
        <v>10876</v>
      </c>
      <c r="I66" s="18">
        <v>12507</v>
      </c>
      <c r="J66" s="19" t="s">
        <v>271</v>
      </c>
    </row>
    <row r="67" spans="1:10" ht="37.5" customHeight="1">
      <c r="A67" s="16" t="s">
        <v>520</v>
      </c>
      <c r="B67" s="15" t="s">
        <v>248</v>
      </c>
      <c r="C67" s="16" t="s">
        <v>249</v>
      </c>
      <c r="D67" s="16" t="s">
        <v>384</v>
      </c>
      <c r="E67" s="37">
        <v>45835</v>
      </c>
      <c r="F67" s="37">
        <v>46555</v>
      </c>
      <c r="G67" s="18">
        <v>15000</v>
      </c>
      <c r="H67" s="18">
        <v>9262</v>
      </c>
      <c r="I67" s="18">
        <v>389004</v>
      </c>
      <c r="J67" s="19" t="s">
        <v>271</v>
      </c>
    </row>
    <row r="68" spans="1:10" ht="37.5" customHeight="1">
      <c r="A68" s="16" t="s">
        <v>521</v>
      </c>
      <c r="B68" s="15" t="s">
        <v>224</v>
      </c>
      <c r="C68" s="16" t="s">
        <v>225</v>
      </c>
      <c r="D68" s="16" t="s">
        <v>522</v>
      </c>
      <c r="E68" s="37">
        <v>45801</v>
      </c>
      <c r="F68" s="37">
        <v>46521</v>
      </c>
      <c r="G68" s="18">
        <v>10000</v>
      </c>
      <c r="H68" s="18">
        <v>7026</v>
      </c>
      <c r="I68" s="18">
        <v>7377</v>
      </c>
      <c r="J68" s="19" t="s">
        <v>271</v>
      </c>
    </row>
    <row r="69" spans="1:10" ht="37.5" customHeight="1">
      <c r="A69" s="16" t="s">
        <v>523</v>
      </c>
      <c r="B69" s="15" t="s">
        <v>160</v>
      </c>
      <c r="C69" s="16" t="s">
        <v>161</v>
      </c>
      <c r="D69" s="16" t="s">
        <v>524</v>
      </c>
      <c r="E69" s="37">
        <v>45799</v>
      </c>
      <c r="F69" s="37">
        <v>46519</v>
      </c>
      <c r="G69" s="18">
        <v>30000</v>
      </c>
      <c r="H69" s="18">
        <v>22742</v>
      </c>
      <c r="I69" s="18">
        <v>10234</v>
      </c>
      <c r="J69" s="19" t="s">
        <v>271</v>
      </c>
    </row>
    <row r="70" spans="1:10" ht="37.5" customHeight="1">
      <c r="A70" s="16" t="s">
        <v>525</v>
      </c>
      <c r="B70" s="15" t="s">
        <v>148</v>
      </c>
      <c r="C70" s="16" t="s">
        <v>149</v>
      </c>
      <c r="D70" s="16" t="s">
        <v>526</v>
      </c>
      <c r="E70" s="37">
        <v>45790</v>
      </c>
      <c r="F70" s="37">
        <v>46510</v>
      </c>
      <c r="G70" s="18">
        <v>30000</v>
      </c>
      <c r="H70" s="18">
        <v>13750</v>
      </c>
      <c r="I70" s="18">
        <v>9350</v>
      </c>
      <c r="J70" s="19" t="s">
        <v>271</v>
      </c>
    </row>
    <row r="71" spans="1:10" ht="37.5" customHeight="1">
      <c r="A71" s="16" t="s">
        <v>527</v>
      </c>
      <c r="B71" s="15" t="s">
        <v>228</v>
      </c>
      <c r="C71" s="16" t="s">
        <v>229</v>
      </c>
      <c r="D71" s="16" t="s">
        <v>528</v>
      </c>
      <c r="E71" s="37">
        <v>45784</v>
      </c>
      <c r="F71" s="37">
        <v>46324</v>
      </c>
      <c r="G71" s="18">
        <v>15000</v>
      </c>
      <c r="H71" s="18">
        <v>3060</v>
      </c>
      <c r="I71" s="18">
        <v>73440</v>
      </c>
      <c r="J71" s="19" t="s">
        <v>271</v>
      </c>
    </row>
    <row r="72" spans="1:10" ht="37.5" customHeight="1">
      <c r="A72" s="16" t="s">
        <v>529</v>
      </c>
      <c r="B72" s="15" t="s">
        <v>232</v>
      </c>
      <c r="C72" s="16" t="s">
        <v>233</v>
      </c>
      <c r="D72" s="16" t="s">
        <v>530</v>
      </c>
      <c r="E72" s="37">
        <v>45737</v>
      </c>
      <c r="F72" s="37">
        <v>46277</v>
      </c>
      <c r="G72" s="18">
        <v>8000</v>
      </c>
      <c r="H72" s="18">
        <v>462</v>
      </c>
      <c r="I72" s="18">
        <v>11088</v>
      </c>
      <c r="J72" s="19" t="s">
        <v>271</v>
      </c>
    </row>
    <row r="73" spans="1:10" ht="37.5" customHeight="1">
      <c r="A73" s="16" t="s">
        <v>531</v>
      </c>
      <c r="B73" s="15" t="s">
        <v>152</v>
      </c>
      <c r="C73" s="16" t="s">
        <v>153</v>
      </c>
      <c r="D73" s="16" t="s">
        <v>532</v>
      </c>
      <c r="E73" s="37">
        <v>45719</v>
      </c>
      <c r="F73" s="37">
        <v>46439</v>
      </c>
      <c r="G73" s="18">
        <v>20000</v>
      </c>
      <c r="H73" s="18">
        <v>12899</v>
      </c>
      <c r="I73" s="18">
        <v>7481</v>
      </c>
      <c r="J73" s="19" t="s">
        <v>271</v>
      </c>
    </row>
    <row r="74" spans="1:10" ht="37.5" customHeight="1">
      <c r="A74" s="16" t="s">
        <v>533</v>
      </c>
      <c r="B74" s="15" t="s">
        <v>110</v>
      </c>
      <c r="C74" s="16" t="s">
        <v>111</v>
      </c>
      <c r="D74" s="16" t="s">
        <v>387</v>
      </c>
      <c r="E74" s="37">
        <v>45711</v>
      </c>
      <c r="F74" s="37">
        <v>46431</v>
      </c>
      <c r="G74" s="18">
        <v>3000</v>
      </c>
      <c r="H74" s="18">
        <v>1672</v>
      </c>
      <c r="I74" s="18">
        <v>1137</v>
      </c>
      <c r="J74" s="19" t="s">
        <v>271</v>
      </c>
    </row>
    <row r="75" spans="1:10" ht="37.5" customHeight="1">
      <c r="A75" s="16" t="s">
        <v>534</v>
      </c>
      <c r="B75" s="15" t="s">
        <v>82</v>
      </c>
      <c r="C75" s="16" t="s">
        <v>83</v>
      </c>
      <c r="D75" s="16" t="s">
        <v>386</v>
      </c>
      <c r="E75" s="37">
        <v>45711</v>
      </c>
      <c r="F75" s="37">
        <v>46431</v>
      </c>
      <c r="G75" s="18">
        <v>5000</v>
      </c>
      <c r="H75" s="18">
        <v>3141</v>
      </c>
      <c r="I75" s="18">
        <v>1728</v>
      </c>
      <c r="J75" s="19" t="s">
        <v>271</v>
      </c>
    </row>
    <row r="76" spans="1:10" ht="37.5" customHeight="1">
      <c r="A76" s="16" t="s">
        <v>535</v>
      </c>
      <c r="B76" s="15" t="s">
        <v>232</v>
      </c>
      <c r="C76" s="16" t="s">
        <v>233</v>
      </c>
      <c r="D76" s="16" t="s">
        <v>402</v>
      </c>
      <c r="E76" s="37">
        <v>45687</v>
      </c>
      <c r="F76" s="37">
        <v>46227</v>
      </c>
      <c r="G76" s="18">
        <v>15000</v>
      </c>
      <c r="H76" s="18">
        <v>1940</v>
      </c>
      <c r="I76" s="18">
        <v>46560</v>
      </c>
      <c r="J76" s="20" t="s">
        <v>350</v>
      </c>
    </row>
    <row r="77" spans="1:10" ht="37.5" customHeight="1">
      <c r="A77" s="16" t="s">
        <v>536</v>
      </c>
      <c r="B77" s="15" t="s">
        <v>82</v>
      </c>
      <c r="C77" s="16" t="s">
        <v>83</v>
      </c>
      <c r="D77" s="16" t="s">
        <v>386</v>
      </c>
      <c r="E77" s="37">
        <v>45686</v>
      </c>
      <c r="F77" s="37">
        <v>46406</v>
      </c>
      <c r="G77" s="18">
        <v>20000</v>
      </c>
      <c r="H77" s="18">
        <v>6527</v>
      </c>
      <c r="I77" s="18">
        <v>3590</v>
      </c>
      <c r="J77" s="19" t="s">
        <v>271</v>
      </c>
    </row>
    <row r="78" spans="1:10" ht="37.5" customHeight="1">
      <c r="A78" s="16" t="s">
        <v>537</v>
      </c>
      <c r="B78" s="15" t="s">
        <v>144</v>
      </c>
      <c r="C78" s="16" t="s">
        <v>145</v>
      </c>
      <c r="D78" s="16" t="s">
        <v>538</v>
      </c>
      <c r="E78" s="37">
        <v>45678</v>
      </c>
      <c r="F78" s="37">
        <v>46218</v>
      </c>
      <c r="G78" s="18">
        <v>30000</v>
      </c>
      <c r="H78" s="18">
        <v>17674</v>
      </c>
      <c r="I78" s="18">
        <v>20325</v>
      </c>
      <c r="J78" s="21" t="s">
        <v>354</v>
      </c>
    </row>
    <row r="79" spans="1:10" ht="37.5" customHeight="1">
      <c r="A79" s="16" t="s">
        <v>539</v>
      </c>
      <c r="B79" s="15" t="s">
        <v>236</v>
      </c>
      <c r="C79" s="16" t="s">
        <v>237</v>
      </c>
      <c r="D79" s="16" t="s">
        <v>509</v>
      </c>
      <c r="E79" s="37">
        <v>45667</v>
      </c>
      <c r="F79" s="37">
        <v>46207</v>
      </c>
      <c r="G79" s="18">
        <v>30000</v>
      </c>
      <c r="H79" s="18">
        <v>2654</v>
      </c>
      <c r="I79" s="18">
        <v>65023</v>
      </c>
      <c r="J79" s="21" t="s">
        <v>354</v>
      </c>
    </row>
    <row r="80" spans="1:10" ht="37.5" customHeight="1">
      <c r="A80" s="16" t="s">
        <v>540</v>
      </c>
      <c r="B80" s="15" t="s">
        <v>139</v>
      </c>
      <c r="C80" s="16" t="s">
        <v>140</v>
      </c>
      <c r="D80" s="16" t="s">
        <v>541</v>
      </c>
      <c r="E80" s="37">
        <v>45663</v>
      </c>
      <c r="F80" s="37">
        <v>46203</v>
      </c>
      <c r="G80" s="18">
        <v>5000</v>
      </c>
      <c r="H80" s="18">
        <v>954</v>
      </c>
      <c r="I80" s="18">
        <v>1192</v>
      </c>
      <c r="J80" s="21" t="s">
        <v>354</v>
      </c>
    </row>
    <row r="81" spans="1:10" ht="37.5" customHeight="1">
      <c r="A81" s="16" t="s">
        <v>542</v>
      </c>
      <c r="B81" s="15" t="s">
        <v>112</v>
      </c>
      <c r="C81" s="16" t="s">
        <v>113</v>
      </c>
      <c r="D81" s="16" t="s">
        <v>380</v>
      </c>
      <c r="E81" s="37">
        <v>45655</v>
      </c>
      <c r="F81" s="37">
        <v>46375</v>
      </c>
      <c r="G81" s="18">
        <v>15000</v>
      </c>
      <c r="H81" s="18">
        <v>7248</v>
      </c>
      <c r="I81" s="18">
        <v>7973</v>
      </c>
      <c r="J81" s="19" t="s">
        <v>271</v>
      </c>
    </row>
    <row r="82" spans="1:10" ht="37.5" customHeight="1">
      <c r="A82" s="16" t="s">
        <v>543</v>
      </c>
      <c r="B82" s="15" t="s">
        <v>232</v>
      </c>
      <c r="C82" s="16" t="s">
        <v>233</v>
      </c>
      <c r="D82" s="16" t="s">
        <v>544</v>
      </c>
      <c r="E82" s="37">
        <v>45646</v>
      </c>
      <c r="F82" s="37">
        <v>46186</v>
      </c>
      <c r="G82" s="18">
        <v>30000</v>
      </c>
      <c r="H82" s="18">
        <v>5968</v>
      </c>
      <c r="I82" s="18">
        <v>143232</v>
      </c>
      <c r="J82" s="22" t="s">
        <v>361</v>
      </c>
    </row>
    <row r="83" spans="1:10" ht="37.5" customHeight="1">
      <c r="A83" s="16" t="s">
        <v>545</v>
      </c>
      <c r="B83" s="15" t="s">
        <v>195</v>
      </c>
      <c r="C83" s="16" t="s">
        <v>196</v>
      </c>
      <c r="D83" s="16" t="s">
        <v>546</v>
      </c>
      <c r="E83" s="37">
        <v>45633</v>
      </c>
      <c r="F83" s="37">
        <v>46713</v>
      </c>
      <c r="G83" s="18">
        <v>15000</v>
      </c>
      <c r="H83" s="18">
        <v>7607</v>
      </c>
      <c r="I83" s="18">
        <v>2130</v>
      </c>
      <c r="J83" s="19" t="s">
        <v>271</v>
      </c>
    </row>
    <row r="84" spans="1:10" ht="37.5" customHeight="1">
      <c r="A84" s="16" t="s">
        <v>547</v>
      </c>
      <c r="B84" s="15" t="s">
        <v>142</v>
      </c>
      <c r="C84" s="16" t="s">
        <v>143</v>
      </c>
      <c r="D84" s="16" t="s">
        <v>548</v>
      </c>
      <c r="E84" s="37">
        <v>45600</v>
      </c>
      <c r="F84" s="37">
        <v>46140</v>
      </c>
      <c r="G84" s="18">
        <v>15000</v>
      </c>
      <c r="H84" s="18">
        <v>7742</v>
      </c>
      <c r="I84" s="18">
        <v>15097</v>
      </c>
      <c r="J84" s="23" t="s">
        <v>352</v>
      </c>
    </row>
    <row r="85" spans="1:10" ht="37.5" customHeight="1">
      <c r="A85" s="16" t="s">
        <v>549</v>
      </c>
      <c r="B85" s="15" t="s">
        <v>234</v>
      </c>
      <c r="C85" s="16" t="s">
        <v>235</v>
      </c>
      <c r="D85" s="16" t="s">
        <v>399</v>
      </c>
      <c r="E85" s="37">
        <v>45572</v>
      </c>
      <c r="F85" s="37">
        <v>46112</v>
      </c>
      <c r="G85" s="18">
        <v>8000</v>
      </c>
      <c r="H85" s="18">
        <v>400</v>
      </c>
      <c r="I85" s="18">
        <v>7600</v>
      </c>
      <c r="J85" s="23" t="s">
        <v>352</v>
      </c>
    </row>
    <row r="86" spans="1:10" ht="37.5" customHeight="1">
      <c r="A86" s="16" t="s">
        <v>550</v>
      </c>
      <c r="B86" s="15" t="s">
        <v>248</v>
      </c>
      <c r="C86" s="16" t="s">
        <v>249</v>
      </c>
      <c r="D86" s="16" t="s">
        <v>384</v>
      </c>
      <c r="E86" s="37">
        <v>45572</v>
      </c>
      <c r="F86" s="37">
        <v>46292</v>
      </c>
      <c r="G86" s="18">
        <v>5000</v>
      </c>
      <c r="H86" s="18">
        <v>1808</v>
      </c>
      <c r="I86" s="18">
        <v>75936</v>
      </c>
      <c r="J86" s="19" t="s">
        <v>271</v>
      </c>
    </row>
    <row r="87" spans="1:10" ht="37.5" customHeight="1">
      <c r="A87" s="16" t="s">
        <v>551</v>
      </c>
      <c r="B87" s="15" t="s">
        <v>234</v>
      </c>
      <c r="C87" s="16" t="s">
        <v>235</v>
      </c>
      <c r="D87" s="16" t="s">
        <v>401</v>
      </c>
      <c r="E87" s="37">
        <v>45568</v>
      </c>
      <c r="F87" s="37">
        <v>46108</v>
      </c>
      <c r="G87" s="18">
        <v>10000</v>
      </c>
      <c r="H87" s="18">
        <v>500</v>
      </c>
      <c r="I87" s="18">
        <v>9500</v>
      </c>
      <c r="J87" s="23" t="s">
        <v>352</v>
      </c>
    </row>
    <row r="88" spans="1:10" ht="37.5" customHeight="1">
      <c r="A88" s="16" t="s">
        <v>552</v>
      </c>
      <c r="B88" s="15" t="s">
        <v>99</v>
      </c>
      <c r="C88" s="16" t="s">
        <v>100</v>
      </c>
      <c r="D88" s="16" t="s">
        <v>553</v>
      </c>
      <c r="E88" s="37">
        <v>45562</v>
      </c>
      <c r="F88" s="37">
        <v>46282</v>
      </c>
      <c r="G88" s="18">
        <v>8000</v>
      </c>
      <c r="H88" s="18">
        <v>1286</v>
      </c>
      <c r="I88" s="18">
        <v>2122</v>
      </c>
      <c r="J88" s="19" t="s">
        <v>271</v>
      </c>
    </row>
    <row r="89" spans="1:10" ht="37.5" customHeight="1">
      <c r="A89" s="16" t="s">
        <v>554</v>
      </c>
      <c r="B89" s="15" t="s">
        <v>142</v>
      </c>
      <c r="C89" s="16" t="s">
        <v>143</v>
      </c>
      <c r="D89" s="16" t="s">
        <v>555</v>
      </c>
      <c r="E89" s="37">
        <v>45561</v>
      </c>
      <c r="F89" s="37">
        <v>46101</v>
      </c>
      <c r="G89" s="18">
        <v>15000</v>
      </c>
      <c r="H89" s="18">
        <v>5181</v>
      </c>
      <c r="I89" s="18">
        <v>10103</v>
      </c>
      <c r="J89" s="23" t="s">
        <v>352</v>
      </c>
    </row>
    <row r="90" spans="1:10" ht="37.5" customHeight="1">
      <c r="A90" s="16" t="s">
        <v>556</v>
      </c>
      <c r="B90" s="15" t="s">
        <v>150</v>
      </c>
      <c r="C90" s="16" t="s">
        <v>151</v>
      </c>
      <c r="D90" s="16" t="s">
        <v>415</v>
      </c>
      <c r="E90" s="37">
        <v>45535</v>
      </c>
      <c r="F90" s="37">
        <v>46255</v>
      </c>
      <c r="G90" s="18">
        <v>8000</v>
      </c>
      <c r="H90" s="18">
        <v>1794</v>
      </c>
      <c r="I90" s="18">
        <v>1399</v>
      </c>
      <c r="J90" s="20" t="s">
        <v>350</v>
      </c>
    </row>
    <row r="91" spans="1:10" ht="37.5" customHeight="1">
      <c r="A91" s="16" t="s">
        <v>557</v>
      </c>
      <c r="B91" s="15" t="s">
        <v>150</v>
      </c>
      <c r="C91" s="16" t="s">
        <v>151</v>
      </c>
      <c r="D91" s="16" t="s">
        <v>558</v>
      </c>
      <c r="E91" s="37">
        <v>45531</v>
      </c>
      <c r="F91" s="37">
        <v>46251</v>
      </c>
      <c r="G91" s="18">
        <v>20000</v>
      </c>
      <c r="H91" s="18">
        <v>1900</v>
      </c>
      <c r="I91" s="18">
        <v>1482</v>
      </c>
      <c r="J91" s="20" t="s">
        <v>350</v>
      </c>
    </row>
    <row r="92" spans="1:10" ht="37.5" customHeight="1">
      <c r="A92" s="16" t="s">
        <v>559</v>
      </c>
      <c r="B92" s="15" t="s">
        <v>224</v>
      </c>
      <c r="C92" s="16" t="s">
        <v>225</v>
      </c>
      <c r="D92" s="16" t="s">
        <v>522</v>
      </c>
      <c r="E92" s="37">
        <v>45527</v>
      </c>
      <c r="F92" s="37">
        <v>46247</v>
      </c>
      <c r="G92" s="18">
        <v>20000</v>
      </c>
      <c r="H92" s="18">
        <v>8936</v>
      </c>
      <c r="I92" s="18">
        <v>9383</v>
      </c>
      <c r="J92" s="20" t="s">
        <v>350</v>
      </c>
    </row>
    <row r="93" spans="1:10" ht="37.5" customHeight="1">
      <c r="A93" s="16" t="s">
        <v>560</v>
      </c>
      <c r="B93" s="15" t="s">
        <v>154</v>
      </c>
      <c r="C93" s="16" t="s">
        <v>155</v>
      </c>
      <c r="D93" s="16" t="s">
        <v>561</v>
      </c>
      <c r="E93" s="37">
        <v>45526</v>
      </c>
      <c r="F93" s="37">
        <v>46246</v>
      </c>
      <c r="G93" s="18">
        <v>5000</v>
      </c>
      <c r="H93" s="18">
        <v>2384</v>
      </c>
      <c r="I93" s="18">
        <v>1001</v>
      </c>
      <c r="J93" s="20" t="s">
        <v>350</v>
      </c>
    </row>
    <row r="94" spans="1:10" ht="37.5" customHeight="1">
      <c r="A94" s="16" t="s">
        <v>562</v>
      </c>
      <c r="B94" s="15" t="s">
        <v>150</v>
      </c>
      <c r="C94" s="16" t="s">
        <v>151</v>
      </c>
      <c r="D94" s="16" t="s">
        <v>563</v>
      </c>
      <c r="E94" s="37">
        <v>45522</v>
      </c>
      <c r="F94" s="37">
        <v>46242</v>
      </c>
      <c r="G94" s="18">
        <v>10000</v>
      </c>
      <c r="H94" s="18">
        <v>3739</v>
      </c>
      <c r="I94" s="18">
        <v>2916</v>
      </c>
      <c r="J94" s="20" t="s">
        <v>350</v>
      </c>
    </row>
    <row r="95" spans="1:10" ht="37.5" customHeight="1">
      <c r="A95" s="16" t="s">
        <v>564</v>
      </c>
      <c r="B95" s="15" t="s">
        <v>160</v>
      </c>
      <c r="C95" s="16" t="s">
        <v>161</v>
      </c>
      <c r="D95" s="16" t="s">
        <v>565</v>
      </c>
      <c r="E95" s="37">
        <v>45518</v>
      </c>
      <c r="F95" s="37">
        <v>46238</v>
      </c>
      <c r="G95" s="18">
        <v>5000</v>
      </c>
      <c r="H95" s="18">
        <v>324</v>
      </c>
      <c r="I95" s="18">
        <v>146</v>
      </c>
      <c r="J95" s="20" t="s">
        <v>350</v>
      </c>
    </row>
    <row r="96" spans="1:10" ht="37.5" customHeight="1">
      <c r="A96" s="16" t="s">
        <v>566</v>
      </c>
      <c r="B96" s="15" t="s">
        <v>95</v>
      </c>
      <c r="C96" s="16" t="s">
        <v>96</v>
      </c>
      <c r="D96" s="16" t="s">
        <v>405</v>
      </c>
      <c r="E96" s="37">
        <v>45516</v>
      </c>
      <c r="F96" s="37">
        <v>46236</v>
      </c>
      <c r="G96" s="18">
        <v>20000</v>
      </c>
      <c r="H96" s="18">
        <v>12336</v>
      </c>
      <c r="I96" s="18">
        <v>11719</v>
      </c>
      <c r="J96" s="20" t="s">
        <v>350</v>
      </c>
    </row>
    <row r="97" spans="1:10" ht="37.5" customHeight="1">
      <c r="A97" s="16" t="s">
        <v>567</v>
      </c>
      <c r="B97" s="15" t="s">
        <v>82</v>
      </c>
      <c r="C97" s="16" t="s">
        <v>83</v>
      </c>
      <c r="D97" s="16" t="s">
        <v>568</v>
      </c>
      <c r="E97" s="37">
        <v>45516</v>
      </c>
      <c r="F97" s="37">
        <v>46236</v>
      </c>
      <c r="G97" s="18">
        <v>10000</v>
      </c>
      <c r="H97" s="18">
        <v>3131</v>
      </c>
      <c r="I97" s="18">
        <v>1722</v>
      </c>
      <c r="J97" s="20" t="s">
        <v>350</v>
      </c>
    </row>
    <row r="98" spans="1:10" ht="37.5" customHeight="1">
      <c r="A98" s="16" t="s">
        <v>569</v>
      </c>
      <c r="B98" s="15" t="s">
        <v>250</v>
      </c>
      <c r="C98" s="16" t="s">
        <v>251</v>
      </c>
      <c r="D98" s="16" t="s">
        <v>570</v>
      </c>
      <c r="E98" s="37">
        <v>45515</v>
      </c>
      <c r="F98" s="37">
        <v>46235</v>
      </c>
      <c r="G98" s="18">
        <v>10000</v>
      </c>
      <c r="H98" s="18">
        <v>4416</v>
      </c>
      <c r="I98" s="18">
        <v>287040</v>
      </c>
      <c r="J98" s="20" t="s">
        <v>350</v>
      </c>
    </row>
    <row r="99" spans="1:10" ht="37.5" customHeight="1">
      <c r="A99" s="16" t="s">
        <v>571</v>
      </c>
      <c r="B99" s="15" t="s">
        <v>248</v>
      </c>
      <c r="C99" s="16" t="s">
        <v>249</v>
      </c>
      <c r="D99" s="16" t="s">
        <v>572</v>
      </c>
      <c r="E99" s="37">
        <v>45513</v>
      </c>
      <c r="F99" s="37">
        <v>46233</v>
      </c>
      <c r="G99" s="18">
        <v>5000</v>
      </c>
      <c r="H99" s="18">
        <v>311</v>
      </c>
      <c r="I99" s="18">
        <v>13062</v>
      </c>
      <c r="J99" s="20" t="s">
        <v>350</v>
      </c>
    </row>
    <row r="100" spans="1:10" ht="37.5" customHeight="1">
      <c r="A100" s="16" t="s">
        <v>573</v>
      </c>
      <c r="B100" s="15" t="s">
        <v>245</v>
      </c>
      <c r="C100" s="16" t="s">
        <v>246</v>
      </c>
      <c r="D100" s="16" t="s">
        <v>574</v>
      </c>
      <c r="E100" s="37">
        <v>45511</v>
      </c>
      <c r="F100" s="37">
        <v>46231</v>
      </c>
      <c r="G100" s="18">
        <v>15000</v>
      </c>
      <c r="H100" s="18">
        <v>750</v>
      </c>
      <c r="I100" s="18">
        <v>18750</v>
      </c>
      <c r="J100" s="20" t="s">
        <v>350</v>
      </c>
    </row>
    <row r="101" spans="1:10" ht="37.5" customHeight="1">
      <c r="A101" s="16" t="s">
        <v>575</v>
      </c>
      <c r="B101" s="15" t="s">
        <v>112</v>
      </c>
      <c r="C101" s="16" t="s">
        <v>113</v>
      </c>
      <c r="D101" s="16" t="s">
        <v>576</v>
      </c>
      <c r="E101" s="37">
        <v>45509</v>
      </c>
      <c r="F101" s="37">
        <v>46229</v>
      </c>
      <c r="G101" s="18">
        <v>20000</v>
      </c>
      <c r="H101" s="18">
        <v>6568</v>
      </c>
      <c r="I101" s="18">
        <v>7225</v>
      </c>
      <c r="J101" s="20" t="s">
        <v>350</v>
      </c>
    </row>
    <row r="102" spans="1:10" ht="37.5" customHeight="1">
      <c r="A102" s="16" t="s">
        <v>577</v>
      </c>
      <c r="B102" s="15" t="s">
        <v>82</v>
      </c>
      <c r="C102" s="16" t="s">
        <v>83</v>
      </c>
      <c r="D102" s="16" t="s">
        <v>578</v>
      </c>
      <c r="E102" s="37">
        <v>45503</v>
      </c>
      <c r="F102" s="37">
        <v>46223</v>
      </c>
      <c r="G102" s="18">
        <v>5000</v>
      </c>
      <c r="H102" s="18">
        <v>250</v>
      </c>
      <c r="I102" s="18">
        <v>138</v>
      </c>
      <c r="J102" s="21" t="s">
        <v>354</v>
      </c>
    </row>
    <row r="103" spans="1:10" ht="37.5" customHeight="1">
      <c r="A103" s="16" t="s">
        <v>579</v>
      </c>
      <c r="B103" s="15" t="s">
        <v>245</v>
      </c>
      <c r="C103" s="16" t="s">
        <v>246</v>
      </c>
      <c r="D103" s="16" t="s">
        <v>580</v>
      </c>
      <c r="E103" s="37">
        <v>45501</v>
      </c>
      <c r="F103" s="37">
        <v>46221</v>
      </c>
      <c r="G103" s="18">
        <v>3000</v>
      </c>
      <c r="H103" s="18">
        <v>1686</v>
      </c>
      <c r="I103" s="18">
        <v>42150</v>
      </c>
      <c r="J103" s="21" t="s">
        <v>354</v>
      </c>
    </row>
    <row r="104" spans="1:10" ht="37.5" customHeight="1">
      <c r="A104" s="16" t="s">
        <v>581</v>
      </c>
      <c r="B104" s="15" t="s">
        <v>150</v>
      </c>
      <c r="C104" s="16" t="s">
        <v>151</v>
      </c>
      <c r="D104" s="16" t="s">
        <v>582</v>
      </c>
      <c r="E104" s="37">
        <v>45487</v>
      </c>
      <c r="F104" s="37">
        <v>46207</v>
      </c>
      <c r="G104" s="18">
        <v>20000</v>
      </c>
      <c r="H104" s="18">
        <v>1109</v>
      </c>
      <c r="I104" s="18">
        <v>865</v>
      </c>
      <c r="J104" s="21" t="s">
        <v>354</v>
      </c>
    </row>
    <row r="105" spans="1:10" ht="37.5" customHeight="1">
      <c r="A105" s="16" t="s">
        <v>583</v>
      </c>
      <c r="B105" s="15" t="s">
        <v>160</v>
      </c>
      <c r="C105" s="16" t="s">
        <v>161</v>
      </c>
      <c r="D105" s="16" t="s">
        <v>584</v>
      </c>
      <c r="E105" s="37">
        <v>45473</v>
      </c>
      <c r="F105" s="37">
        <v>46193</v>
      </c>
      <c r="G105" s="18">
        <v>8000</v>
      </c>
      <c r="H105" s="18">
        <v>1472</v>
      </c>
      <c r="I105" s="18">
        <v>662</v>
      </c>
      <c r="J105" s="22" t="s">
        <v>361</v>
      </c>
    </row>
    <row r="106" spans="1:10" ht="37.5" customHeight="1">
      <c r="A106" s="16" t="s">
        <v>585</v>
      </c>
      <c r="B106" s="15" t="s">
        <v>88</v>
      </c>
      <c r="C106" s="16" t="s">
        <v>89</v>
      </c>
      <c r="D106" s="16" t="s">
        <v>403</v>
      </c>
      <c r="E106" s="37">
        <v>45469</v>
      </c>
      <c r="F106" s="37">
        <v>46189</v>
      </c>
      <c r="G106" s="18">
        <v>5000</v>
      </c>
      <c r="H106" s="18">
        <v>1750</v>
      </c>
      <c r="I106" s="18">
        <v>1488</v>
      </c>
      <c r="J106" s="22" t="s">
        <v>361</v>
      </c>
    </row>
    <row r="107" spans="1:10" ht="37.5" customHeight="1">
      <c r="A107" s="16" t="s">
        <v>586</v>
      </c>
      <c r="B107" s="15" t="s">
        <v>224</v>
      </c>
      <c r="C107" s="16" t="s">
        <v>225</v>
      </c>
      <c r="D107" s="16" t="s">
        <v>587</v>
      </c>
      <c r="E107" s="37">
        <v>45456</v>
      </c>
      <c r="F107" s="37">
        <v>46176</v>
      </c>
      <c r="G107" s="18">
        <v>30000</v>
      </c>
      <c r="H107" s="18">
        <v>8807</v>
      </c>
      <c r="I107" s="18">
        <v>9247</v>
      </c>
      <c r="J107" s="22" t="s">
        <v>361</v>
      </c>
    </row>
    <row r="108" spans="1:10" ht="37.5" customHeight="1">
      <c r="A108" s="16" t="s">
        <v>588</v>
      </c>
      <c r="B108" s="15" t="s">
        <v>250</v>
      </c>
      <c r="C108" s="16" t="s">
        <v>251</v>
      </c>
      <c r="D108" s="16" t="s">
        <v>589</v>
      </c>
      <c r="E108" s="37">
        <v>45455</v>
      </c>
      <c r="F108" s="37">
        <v>46175</v>
      </c>
      <c r="G108" s="18">
        <v>3000</v>
      </c>
      <c r="H108" s="18">
        <v>1709</v>
      </c>
      <c r="I108" s="18">
        <v>111085</v>
      </c>
      <c r="J108" s="22" t="s">
        <v>361</v>
      </c>
    </row>
    <row r="109" spans="1:10" ht="37.5" customHeight="1">
      <c r="A109" s="16" t="s">
        <v>590</v>
      </c>
      <c r="B109" s="15" t="s">
        <v>133</v>
      </c>
      <c r="C109" s="16" t="s">
        <v>134</v>
      </c>
      <c r="D109" s="16" t="s">
        <v>370</v>
      </c>
      <c r="E109" s="37">
        <v>45453</v>
      </c>
      <c r="F109" s="37">
        <v>46173</v>
      </c>
      <c r="G109" s="18">
        <v>3000</v>
      </c>
      <c r="H109" s="18">
        <v>408</v>
      </c>
      <c r="I109" s="18">
        <v>318</v>
      </c>
      <c r="J109" s="22" t="s">
        <v>361</v>
      </c>
    </row>
    <row r="110" spans="1:10" ht="37.5" customHeight="1">
      <c r="A110" s="16" t="s">
        <v>591</v>
      </c>
      <c r="B110" s="15" t="s">
        <v>148</v>
      </c>
      <c r="C110" s="16" t="s">
        <v>149</v>
      </c>
      <c r="D110" s="16" t="s">
        <v>592</v>
      </c>
      <c r="E110" s="37">
        <v>45449</v>
      </c>
      <c r="F110" s="37">
        <v>46169</v>
      </c>
      <c r="G110" s="18">
        <v>30000</v>
      </c>
      <c r="H110" s="18">
        <v>7851</v>
      </c>
      <c r="I110" s="18">
        <v>5339</v>
      </c>
      <c r="J110" s="22" t="s">
        <v>361</v>
      </c>
    </row>
    <row r="111" spans="1:10" ht="37.5" customHeight="1">
      <c r="A111" s="16" t="s">
        <v>593</v>
      </c>
      <c r="B111" s="15" t="s">
        <v>248</v>
      </c>
      <c r="C111" s="16" t="s">
        <v>249</v>
      </c>
      <c r="D111" s="16" t="s">
        <v>384</v>
      </c>
      <c r="E111" s="37">
        <v>45447</v>
      </c>
      <c r="F111" s="37">
        <v>46167</v>
      </c>
      <c r="G111" s="18">
        <v>10000</v>
      </c>
      <c r="H111" s="18">
        <v>956</v>
      </c>
      <c r="I111" s="18">
        <v>40152</v>
      </c>
      <c r="J111" s="22" t="s">
        <v>361</v>
      </c>
    </row>
    <row r="112" spans="1:10" ht="37.5" customHeight="1">
      <c r="A112" s="16" t="s">
        <v>594</v>
      </c>
      <c r="B112" s="15" t="s">
        <v>92</v>
      </c>
      <c r="C112" s="16" t="s">
        <v>93</v>
      </c>
      <c r="D112" s="16" t="s">
        <v>595</v>
      </c>
      <c r="E112" s="37">
        <v>45442</v>
      </c>
      <c r="F112" s="37">
        <v>46162</v>
      </c>
      <c r="G112" s="18">
        <v>8000</v>
      </c>
      <c r="H112" s="18">
        <v>2380</v>
      </c>
      <c r="I112" s="18">
        <v>2856</v>
      </c>
      <c r="J112" s="23" t="s">
        <v>352</v>
      </c>
    </row>
    <row r="113" spans="1:10" ht="37.5" customHeight="1">
      <c r="A113" s="16" t="s">
        <v>596</v>
      </c>
      <c r="B113" s="15" t="s">
        <v>95</v>
      </c>
      <c r="C113" s="16" t="s">
        <v>96</v>
      </c>
      <c r="D113" s="16" t="s">
        <v>597</v>
      </c>
      <c r="E113" s="37">
        <v>45438</v>
      </c>
      <c r="F113" s="37">
        <v>46158</v>
      </c>
      <c r="G113" s="18">
        <v>20000</v>
      </c>
      <c r="H113" s="18">
        <v>11694</v>
      </c>
      <c r="I113" s="18">
        <v>11109</v>
      </c>
      <c r="J113" s="23" t="s">
        <v>352</v>
      </c>
    </row>
    <row r="114" spans="1:10" ht="37.5" customHeight="1">
      <c r="A114" s="16" t="s">
        <v>598</v>
      </c>
      <c r="B114" s="15" t="s">
        <v>250</v>
      </c>
      <c r="C114" s="16" t="s">
        <v>251</v>
      </c>
      <c r="D114" s="16" t="s">
        <v>599</v>
      </c>
      <c r="E114" s="37">
        <v>45431</v>
      </c>
      <c r="F114" s="37">
        <v>46151</v>
      </c>
      <c r="G114" s="18">
        <v>5000</v>
      </c>
      <c r="H114" s="18">
        <v>956</v>
      </c>
      <c r="I114" s="18">
        <v>62140</v>
      </c>
      <c r="J114" s="23" t="s">
        <v>352</v>
      </c>
    </row>
    <row r="115" spans="1:10" ht="37.5" customHeight="1">
      <c r="A115" s="16" t="s">
        <v>600</v>
      </c>
      <c r="B115" s="15" t="s">
        <v>188</v>
      </c>
      <c r="C115" s="16" t="s">
        <v>189</v>
      </c>
      <c r="D115" s="16" t="s">
        <v>601</v>
      </c>
      <c r="E115" s="37">
        <v>45408</v>
      </c>
      <c r="F115" s="37">
        <v>46488</v>
      </c>
      <c r="G115" s="18">
        <v>15000</v>
      </c>
      <c r="H115" s="18">
        <v>7426</v>
      </c>
      <c r="I115" s="18">
        <v>1337</v>
      </c>
      <c r="J115" s="19" t="s">
        <v>271</v>
      </c>
    </row>
    <row r="116" spans="1:10" ht="37.5" customHeight="1">
      <c r="A116" s="16" t="s">
        <v>602</v>
      </c>
      <c r="B116" s="15" t="s">
        <v>133</v>
      </c>
      <c r="C116" s="16" t="s">
        <v>134</v>
      </c>
      <c r="D116" s="16" t="s">
        <v>486</v>
      </c>
      <c r="E116" s="37">
        <v>45408</v>
      </c>
      <c r="F116" s="37">
        <v>46128</v>
      </c>
      <c r="G116" s="18">
        <v>8000</v>
      </c>
      <c r="H116" s="18">
        <v>400</v>
      </c>
      <c r="I116" s="18">
        <v>312</v>
      </c>
      <c r="J116" s="23" t="s">
        <v>352</v>
      </c>
    </row>
    <row r="117" spans="1:10" ht="37.5" customHeight="1">
      <c r="A117" s="16" t="s">
        <v>603</v>
      </c>
      <c r="B117" s="15" t="s">
        <v>112</v>
      </c>
      <c r="C117" s="16" t="s">
        <v>113</v>
      </c>
      <c r="D117" s="16" t="s">
        <v>604</v>
      </c>
      <c r="E117" s="37">
        <v>45399</v>
      </c>
      <c r="F117" s="37">
        <v>46119</v>
      </c>
      <c r="G117" s="18">
        <v>30000</v>
      </c>
      <c r="H117" s="18">
        <v>4137</v>
      </c>
      <c r="I117" s="18">
        <v>4551</v>
      </c>
      <c r="J117" s="23" t="s">
        <v>352</v>
      </c>
    </row>
    <row r="118" spans="1:10" ht="37.5" customHeight="1">
      <c r="A118" s="16" t="s">
        <v>605</v>
      </c>
      <c r="B118" s="15" t="s">
        <v>82</v>
      </c>
      <c r="C118" s="16" t="s">
        <v>83</v>
      </c>
      <c r="D118" s="16" t="s">
        <v>386</v>
      </c>
      <c r="E118" s="37">
        <v>45394</v>
      </c>
      <c r="F118" s="37">
        <v>46114</v>
      </c>
      <c r="G118" s="18">
        <v>10000</v>
      </c>
      <c r="H118" s="18">
        <v>1607</v>
      </c>
      <c r="I118" s="18">
        <v>884</v>
      </c>
      <c r="J118" s="23" t="s">
        <v>352</v>
      </c>
    </row>
    <row r="119" spans="1:10" ht="37.5" customHeight="1">
      <c r="A119" s="16" t="s">
        <v>606</v>
      </c>
      <c r="B119" s="15" t="s">
        <v>103</v>
      </c>
      <c r="C119" s="16" t="s">
        <v>104</v>
      </c>
      <c r="D119" s="16" t="s">
        <v>607</v>
      </c>
      <c r="E119" s="37">
        <v>45274</v>
      </c>
      <c r="F119" s="37">
        <v>46354</v>
      </c>
      <c r="G119" s="18">
        <v>30000</v>
      </c>
      <c r="H119" s="18">
        <v>14471</v>
      </c>
      <c r="I119" s="18">
        <v>4052</v>
      </c>
      <c r="J119" s="19" t="s">
        <v>271</v>
      </c>
    </row>
    <row r="120" spans="1:10" ht="37.5" customHeight="1">
      <c r="A120" s="16" t="s">
        <v>608</v>
      </c>
      <c r="B120" s="15" t="s">
        <v>103</v>
      </c>
      <c r="C120" s="16" t="s">
        <v>104</v>
      </c>
      <c r="D120" s="16" t="s">
        <v>609</v>
      </c>
      <c r="E120" s="37">
        <v>45171</v>
      </c>
      <c r="F120" s="37">
        <v>46251</v>
      </c>
      <c r="G120" s="18">
        <v>10000</v>
      </c>
      <c r="H120" s="18">
        <v>1602</v>
      </c>
      <c r="I120" s="18">
        <v>449</v>
      </c>
      <c r="J120" s="20" t="s">
        <v>350</v>
      </c>
    </row>
    <row r="121" spans="1:10" ht="37.5" customHeight="1">
      <c r="A121" s="16" t="s">
        <v>610</v>
      </c>
      <c r="B121" s="15" t="s">
        <v>188</v>
      </c>
      <c r="C121" s="16" t="s">
        <v>189</v>
      </c>
      <c r="D121" s="16" t="s">
        <v>611</v>
      </c>
      <c r="E121" s="37">
        <v>45139</v>
      </c>
      <c r="F121" s="37">
        <v>46219</v>
      </c>
      <c r="G121" s="18">
        <v>30000</v>
      </c>
      <c r="H121" s="18">
        <v>3677</v>
      </c>
      <c r="I121" s="18">
        <v>662</v>
      </c>
      <c r="J121" s="21" t="s">
        <v>354</v>
      </c>
    </row>
    <row r="122" spans="1:10" ht="37.5" customHeight="1">
      <c r="A122" s="16" t="s">
        <v>612</v>
      </c>
      <c r="B122" s="15" t="s">
        <v>195</v>
      </c>
      <c r="C122" s="16" t="s">
        <v>196</v>
      </c>
      <c r="D122" s="16" t="s">
        <v>613</v>
      </c>
      <c r="E122" s="37">
        <v>45084</v>
      </c>
      <c r="F122" s="37">
        <v>46164</v>
      </c>
      <c r="G122" s="18">
        <v>8000</v>
      </c>
      <c r="H122" s="18">
        <v>2233</v>
      </c>
      <c r="I122" s="18">
        <v>625</v>
      </c>
      <c r="J122" s="23" t="s">
        <v>352</v>
      </c>
    </row>
    <row r="123" spans="1:10" ht="37.5" customHeight="1">
      <c r="A123" s="16" t="s">
        <v>614</v>
      </c>
      <c r="B123" s="15" t="s">
        <v>188</v>
      </c>
      <c r="C123" s="16" t="s">
        <v>189</v>
      </c>
      <c r="D123" s="16" t="s">
        <v>615</v>
      </c>
      <c r="E123" s="37">
        <v>45073</v>
      </c>
      <c r="F123" s="37">
        <v>46153</v>
      </c>
      <c r="G123" s="18">
        <v>8000</v>
      </c>
      <c r="H123" s="18">
        <v>2711</v>
      </c>
      <c r="I123" s="18">
        <v>488</v>
      </c>
      <c r="J123" s="23" t="s">
        <v>352</v>
      </c>
    </row>
    <row r="124" spans="1:10" ht="37.5" customHeight="1">
      <c r="A124" s="16" t="s">
        <v>616</v>
      </c>
      <c r="B124" s="15" t="s">
        <v>197</v>
      </c>
      <c r="C124" s="16" t="s">
        <v>198</v>
      </c>
      <c r="D124" s="16" t="s">
        <v>617</v>
      </c>
      <c r="E124" s="37">
        <v>45035</v>
      </c>
      <c r="F124" s="37">
        <v>46115</v>
      </c>
      <c r="G124" s="18">
        <v>30000</v>
      </c>
      <c r="H124" s="18">
        <v>15463</v>
      </c>
      <c r="I124" s="18">
        <v>5412</v>
      </c>
      <c r="J124" s="23" t="s">
        <v>352</v>
      </c>
    </row>
  </sheetData>
  <mergeCells count="1">
    <mergeCell ref="A2:J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1466-2900-45B5-80AF-9112DCF0541D}">
  <dimension ref="A1:H61"/>
  <sheetViews>
    <sheetView zoomScaleNormal="100" workbookViewId="0">
      <selection activeCell="H5" sqref="H5"/>
    </sheetView>
  </sheetViews>
  <sheetFormatPr defaultRowHeight="16.5"/>
  <cols>
    <col min="1" max="1" width="21.5" style="2" customWidth="1"/>
    <col min="2" max="2" width="26" style="2" customWidth="1"/>
    <col min="3" max="3" width="11.08203125" style="2" customWidth="1"/>
    <col min="4" max="4" width="14.08203125" style="49" customWidth="1"/>
    <col min="5" max="6" width="11.08203125" style="2" customWidth="1"/>
    <col min="7" max="7" width="24.5" style="52" customWidth="1"/>
    <col min="8" max="8" width="21.08203125" style="2" customWidth="1"/>
    <col min="9" max="16384" width="8.6640625" style="2"/>
  </cols>
  <sheetData>
    <row r="1" spans="1:8" ht="32" customHeight="1">
      <c r="A1" s="6" t="s">
        <v>67</v>
      </c>
      <c r="B1" s="8"/>
      <c r="C1" s="8"/>
      <c r="D1" s="47"/>
      <c r="E1" s="8"/>
      <c r="F1" s="8"/>
      <c r="G1" s="50"/>
      <c r="H1" s="8"/>
    </row>
    <row r="2" spans="1:8">
      <c r="A2" s="45" t="s">
        <v>68</v>
      </c>
      <c r="B2" s="45"/>
      <c r="C2" s="45"/>
      <c r="D2" s="45"/>
      <c r="E2" s="45"/>
      <c r="F2" s="45"/>
      <c r="G2" s="45"/>
      <c r="H2" s="45"/>
    </row>
    <row r="4" spans="1:8" s="10" customFormat="1" ht="32" customHeight="1">
      <c r="A4" s="4" t="s">
        <v>69</v>
      </c>
      <c r="B4" s="4" t="s">
        <v>70</v>
      </c>
      <c r="C4" s="4" t="s">
        <v>26</v>
      </c>
      <c r="D4" s="48" t="s">
        <v>44</v>
      </c>
      <c r="E4" s="4" t="s">
        <v>71</v>
      </c>
      <c r="F4" s="4" t="s">
        <v>72</v>
      </c>
      <c r="G4" s="51" t="s">
        <v>73</v>
      </c>
      <c r="H4" s="4" t="s">
        <v>74</v>
      </c>
    </row>
    <row r="5" spans="1:8">
      <c r="A5" s="2" t="str" cm="1">
        <f t="array" aca="1" ref="A5:G61" ca="1">_xlfn.LET(_xlpm.rawRange, '02_原料库存'!A5:J100, _xlpm.rawValid, _xlfn._xlws.FILTER(_xlpm.rawRange, (INDEX(_xlpm.rawRange,,10)&lt;&gt;"正常")*(INDEX(_xlpm.rawRange,,10)&lt;&gt;"已耗尽")*(INDEX(_xlpm.rawRange,,1)&lt;&gt;"")), _xlpm.rawOut, _xlfn.HSTACK(INDEX(_xlpm.rawValid,,1), IF(INDEX(_xlpm.rawValid,,1)&lt;&gt;"","原料",""), IF(INDEX(_xlpm.rawValid,,1)&lt;&gt;"","N/A",""), INDEX(_xlpm.rawValid,,6), INDEX(_xlpm.rawValid,,6)-TODAY(), INDEX(_xlpm.rawValid,,10), INDEX(_xlpm.rawValid,,8)*INDEX(_xlpm.rawValid,,9)), _xlpm.fgRange, '04_成品库存'!A5:J150, _xlpm.fgValid, _xlfn._xlws.FILTER(_xlpm.fgRange, (INDEX(_xlpm.fgRange,,10)&lt;&gt;"正常")*(INDEX(_xlpm.fgRange,,10)&lt;&gt;"已售罄")*(INDEX(_xlpm.fgRange,,1)&lt;&gt;"")), _xlpm.fgOut, _xlfn.HSTACK(INDEX(_xlpm.fgValid,,1), IF(INDEX(_xlpm.fgValid,,1)&lt;&gt;"","成品",""), INDEX(_xlpm.fgValid,,2), INDEX(_xlpm.fgValid,,6), INDEX(_xlpm.fgValid,,6)-TODAY(), INDEX(_xlpm.fgValid,,10), INDEX(_xlpm.fgValid,,9)), _xlpm.combined, _xlfn.VSTACK(_xlpm.rawOut, _xlpm.fgOut), _xlfn._xlws.SORT(_xlpm.combined, 5, 1))</f>
        <v>FG-HG-240926-090</v>
      </c>
      <c r="B5" s="2" t="str">
        <f ca="1"/>
        <v>成品</v>
      </c>
      <c r="C5" s="2" t="str">
        <f ca="1"/>
        <v>TN-HG-002</v>
      </c>
      <c r="D5" s="69">
        <f ca="1"/>
        <v>46101</v>
      </c>
      <c r="E5" s="2">
        <f ca="1"/>
        <v>-64</v>
      </c>
      <c r="F5" s="2" t="str">
        <f ca="1"/>
        <v>过期</v>
      </c>
      <c r="G5" s="53">
        <f ca="1"/>
        <v>10103</v>
      </c>
      <c r="H5" s="2" t="str">
        <f ca="1">IF(A5="","",IF(F5="过期","🚨 立即报废 + 召回审计",IF(F5="临期-红","⚡ 7天内促销/退货",IF(F5="临期-橙","⚠️ 30天内对接销售折扣",IF(F5="临期-黄","📋 进入观察名单","正常")))))</f>
        <v>🚨 立即报废 + 召回审计</v>
      </c>
    </row>
    <row r="6" spans="1:8">
      <c r="A6" s="2" t="str">
        <f ca="1"/>
        <v>FG-PW-241003-086</v>
      </c>
      <c r="B6" s="2" t="str">
        <f ca="1"/>
        <v>成品</v>
      </c>
      <c r="C6" s="2" t="str">
        <f ca="1"/>
        <v>TN-PW-003</v>
      </c>
      <c r="D6" s="69">
        <f ca="1"/>
        <v>46108</v>
      </c>
      <c r="E6" s="2">
        <f ca="1"/>
        <v>-57</v>
      </c>
      <c r="F6" s="2" t="str">
        <f ca="1"/>
        <v>过期</v>
      </c>
      <c r="G6" s="53">
        <f ca="1"/>
        <v>9500</v>
      </c>
      <c r="H6" s="2" t="str">
        <f t="shared" ref="H6:H61" ca="1" si="0">IF(A6="","",IF(F6="过期","🚨 立即报废 + 召回审计",IF(F6="临期-红","⚡ 7天内促销/退货",IF(F6="临期-橙","⚠️ 30天内对接销售折扣",IF(F6="临期-黄","📋 进入观察名单","正常")))))</f>
        <v>🚨 立即报废 + 召回审计</v>
      </c>
    </row>
    <row r="7" spans="1:8">
      <c r="A7" s="2" t="str">
        <f ca="1"/>
        <v>FG-PW-241007-040</v>
      </c>
      <c r="B7" s="2" t="str">
        <f ca="1"/>
        <v>成品</v>
      </c>
      <c r="C7" s="2" t="str">
        <f ca="1"/>
        <v>TN-PW-003</v>
      </c>
      <c r="D7" s="69">
        <f ca="1"/>
        <v>46112</v>
      </c>
      <c r="E7" s="2">
        <f ca="1"/>
        <v>-53</v>
      </c>
      <c r="F7" s="2" t="str">
        <f ca="1"/>
        <v>过期</v>
      </c>
      <c r="G7" s="53">
        <f ca="1"/>
        <v>7600</v>
      </c>
      <c r="H7" s="2" t="str">
        <f t="shared" ca="1" si="0"/>
        <v>🚨 立即报废 + 召回审计</v>
      </c>
    </row>
    <row r="8" spans="1:8">
      <c r="A8" s="2" t="str">
        <f ca="1"/>
        <v>FG-SG-240412-011</v>
      </c>
      <c r="B8" s="2" t="str">
        <f ca="1"/>
        <v>成品</v>
      </c>
      <c r="C8" s="2" t="str">
        <f ca="1"/>
        <v>TN-SG-001</v>
      </c>
      <c r="D8" s="69">
        <f ca="1"/>
        <v>46114</v>
      </c>
      <c r="E8" s="2">
        <f ca="1"/>
        <v>-51</v>
      </c>
      <c r="F8" s="2" t="str">
        <f ca="1"/>
        <v>过期</v>
      </c>
      <c r="G8" s="53">
        <f ca="1"/>
        <v>884</v>
      </c>
      <c r="H8" s="2" t="str">
        <f t="shared" ca="1" si="0"/>
        <v>🚨 立即报废 + 召回审计</v>
      </c>
    </row>
    <row r="9" spans="1:8">
      <c r="A9" s="2" t="str">
        <f ca="1"/>
        <v>FG-TB-230419-012</v>
      </c>
      <c r="B9" s="2" t="str">
        <f ca="1"/>
        <v>成品</v>
      </c>
      <c r="C9" s="2" t="str">
        <f ca="1"/>
        <v>TN-TB-004</v>
      </c>
      <c r="D9" s="69">
        <f ca="1"/>
        <v>46115</v>
      </c>
      <c r="E9" s="2">
        <f ca="1"/>
        <v>-50</v>
      </c>
      <c r="F9" s="2" t="str">
        <f ca="1"/>
        <v>过期</v>
      </c>
      <c r="G9" s="53">
        <f ca="1"/>
        <v>5412</v>
      </c>
      <c r="H9" s="2" t="str">
        <f t="shared" ca="1" si="0"/>
        <v>🚨 立即报废 + 召回审计</v>
      </c>
    </row>
    <row r="10" spans="1:8">
      <c r="A10" s="2" t="str">
        <f ca="1"/>
        <v>FG-SG-240417-075</v>
      </c>
      <c r="B10" s="2" t="str">
        <f ca="1"/>
        <v>成品</v>
      </c>
      <c r="C10" s="2" t="str">
        <f ca="1"/>
        <v>TN-SG-010</v>
      </c>
      <c r="D10" s="69">
        <f ca="1"/>
        <v>46119</v>
      </c>
      <c r="E10" s="2">
        <f ca="1"/>
        <v>-46</v>
      </c>
      <c r="F10" s="2" t="str">
        <f ca="1"/>
        <v>过期</v>
      </c>
      <c r="G10" s="53">
        <f ca="1"/>
        <v>4551</v>
      </c>
      <c r="H10" s="2" t="str">
        <f t="shared" ca="1" si="0"/>
        <v>🚨 立即报废 + 召回审计</v>
      </c>
    </row>
    <row r="11" spans="1:8">
      <c r="A11" s="2" t="str">
        <f ca="1"/>
        <v>FG-SG-240426-065</v>
      </c>
      <c r="B11" s="2" t="str">
        <f ca="1"/>
        <v>成品</v>
      </c>
      <c r="C11" s="2" t="str">
        <f ca="1"/>
        <v>TN-SG-020</v>
      </c>
      <c r="D11" s="69">
        <f ca="1"/>
        <v>46128</v>
      </c>
      <c r="E11" s="2">
        <f ca="1"/>
        <v>-37</v>
      </c>
      <c r="F11" s="2" t="str">
        <f ca="1"/>
        <v>过期</v>
      </c>
      <c r="G11" s="53">
        <f ca="1"/>
        <v>312</v>
      </c>
      <c r="H11" s="2" t="str">
        <f t="shared" ca="1" si="0"/>
        <v>🚨 立即报废 + 召回审计</v>
      </c>
    </row>
    <row r="12" spans="1:8">
      <c r="A12" s="2" t="str">
        <f ca="1"/>
        <v>FG-HG-241104-068</v>
      </c>
      <c r="B12" s="2" t="str">
        <f ca="1"/>
        <v>成品</v>
      </c>
      <c r="C12" s="2" t="str">
        <f ca="1"/>
        <v>TN-HG-002</v>
      </c>
      <c r="D12" s="69">
        <f ca="1"/>
        <v>46140</v>
      </c>
      <c r="E12" s="2">
        <f ca="1"/>
        <v>-25</v>
      </c>
      <c r="F12" s="2" t="str">
        <f ca="1"/>
        <v>过期</v>
      </c>
      <c r="G12" s="53">
        <f ca="1"/>
        <v>15097</v>
      </c>
      <c r="H12" s="2" t="str">
        <f t="shared" ca="1" si="0"/>
        <v>🚨 立即报废 + 召回审计</v>
      </c>
    </row>
    <row r="13" spans="1:8">
      <c r="A13" s="2" t="str">
        <f ca="1"/>
        <v>LOT-P008-2505-037</v>
      </c>
      <c r="B13" s="2" t="str">
        <f ca="1"/>
        <v>原料</v>
      </c>
      <c r="C13" s="2" t="str">
        <f ca="1"/>
        <v>N/A</v>
      </c>
      <c r="D13" s="69">
        <f ca="1"/>
        <v>46144</v>
      </c>
      <c r="E13" s="2">
        <f ca="1"/>
        <v>-21</v>
      </c>
      <c r="F13" s="2" t="str">
        <f ca="1"/>
        <v>过期</v>
      </c>
      <c r="G13" s="53">
        <f ca="1"/>
        <v>21750</v>
      </c>
      <c r="H13" s="2" t="str">
        <f t="shared" ca="1" si="0"/>
        <v>🚨 立即报废 + 召回审计</v>
      </c>
    </row>
    <row r="14" spans="1:8">
      <c r="A14" s="2" t="str">
        <f ca="1"/>
        <v>LOT-P002-2405-008</v>
      </c>
      <c r="B14" s="2" t="str">
        <f ca="1"/>
        <v>原料</v>
      </c>
      <c r="C14" s="2" t="str">
        <f ca="1"/>
        <v>N/A</v>
      </c>
      <c r="D14" s="69">
        <f ca="1"/>
        <v>46147</v>
      </c>
      <c r="E14" s="2">
        <f ca="1"/>
        <v>-18</v>
      </c>
      <c r="F14" s="2" t="str">
        <f ca="1"/>
        <v>过期</v>
      </c>
      <c r="G14" s="53">
        <f ca="1"/>
        <v>12000</v>
      </c>
      <c r="H14" s="2" t="str">
        <f t="shared" ca="1" si="0"/>
        <v>🚨 立即报废 + 召回审计</v>
      </c>
    </row>
    <row r="15" spans="1:8">
      <c r="A15" s="2" t="str">
        <f ca="1"/>
        <v>FG-PW-240519-015</v>
      </c>
      <c r="B15" s="2" t="str">
        <f ca="1"/>
        <v>成品</v>
      </c>
      <c r="C15" s="2" t="str">
        <f ca="1"/>
        <v>TN-PW-010</v>
      </c>
      <c r="D15" s="69">
        <f ca="1"/>
        <v>46151</v>
      </c>
      <c r="E15" s="2">
        <f ca="1"/>
        <v>-14</v>
      </c>
      <c r="F15" s="2" t="str">
        <f ca="1"/>
        <v>过期</v>
      </c>
      <c r="G15" s="53">
        <f ca="1"/>
        <v>62140</v>
      </c>
      <c r="H15" s="2" t="str">
        <f t="shared" ca="1" si="0"/>
        <v>🚨 立即报废 + 召回审计</v>
      </c>
    </row>
    <row r="16" spans="1:8">
      <c r="A16" s="2" t="str">
        <f ca="1"/>
        <v>LOT-P007-2405-034</v>
      </c>
      <c r="B16" s="2" t="str">
        <f ca="1"/>
        <v>原料</v>
      </c>
      <c r="C16" s="2" t="str">
        <f ca="1"/>
        <v>N/A</v>
      </c>
      <c r="D16" s="69">
        <f ca="1"/>
        <v>46153</v>
      </c>
      <c r="E16" s="2">
        <f ca="1"/>
        <v>-12</v>
      </c>
      <c r="F16" s="2" t="str">
        <f ca="1"/>
        <v>过期</v>
      </c>
      <c r="G16" s="53">
        <f ca="1"/>
        <v>7350</v>
      </c>
      <c r="H16" s="2" t="str">
        <f t="shared" ca="1" si="0"/>
        <v>🚨 立即报废 + 召回审计</v>
      </c>
    </row>
    <row r="17" spans="1:8">
      <c r="A17" s="2" t="str">
        <f ca="1"/>
        <v>FG-TB-230527-094</v>
      </c>
      <c r="B17" s="2" t="str">
        <f ca="1"/>
        <v>成品</v>
      </c>
      <c r="C17" s="2" t="str">
        <f ca="1"/>
        <v>TN-TB-001</v>
      </c>
      <c r="D17" s="69">
        <f ca="1"/>
        <v>46153</v>
      </c>
      <c r="E17" s="2">
        <f ca="1"/>
        <v>-12</v>
      </c>
      <c r="F17" s="2" t="str">
        <f ca="1"/>
        <v>过期</v>
      </c>
      <c r="G17" s="53">
        <f ca="1"/>
        <v>488</v>
      </c>
      <c r="H17" s="2" t="str">
        <f t="shared" ca="1" si="0"/>
        <v>🚨 立即报废 + 召回审计</v>
      </c>
    </row>
    <row r="18" spans="1:8">
      <c r="A18" s="2" t="str">
        <f ca="1"/>
        <v>FG-SG-240526-113</v>
      </c>
      <c r="B18" s="2" t="str">
        <f ca="1"/>
        <v>成品</v>
      </c>
      <c r="C18" s="2" t="str">
        <f ca="1"/>
        <v>TN-SG-004</v>
      </c>
      <c r="D18" s="69">
        <f ca="1"/>
        <v>46158</v>
      </c>
      <c r="E18" s="2">
        <f ca="1"/>
        <v>-7</v>
      </c>
      <c r="F18" s="2" t="str">
        <f ca="1"/>
        <v>过期</v>
      </c>
      <c r="G18" s="53">
        <f ca="1"/>
        <v>11109</v>
      </c>
      <c r="H18" s="2" t="str">
        <f t="shared" ca="1" si="0"/>
        <v>🚨 立即报废 + 召回审计</v>
      </c>
    </row>
    <row r="19" spans="1:8">
      <c r="A19" s="2" t="str">
        <f ca="1"/>
        <v>LOT-P010-2405-045</v>
      </c>
      <c r="B19" s="2" t="str">
        <f ca="1"/>
        <v>原料</v>
      </c>
      <c r="C19" s="2" t="str">
        <f ca="1"/>
        <v>N/A</v>
      </c>
      <c r="D19" s="69">
        <f ca="1"/>
        <v>46161</v>
      </c>
      <c r="E19" s="2">
        <f ca="1"/>
        <v>-4</v>
      </c>
      <c r="F19" s="2" t="str">
        <f ca="1"/>
        <v>过期</v>
      </c>
      <c r="G19" s="53">
        <f ca="1"/>
        <v>28710</v>
      </c>
      <c r="H19" s="2" t="str">
        <f t="shared" ca="1" si="0"/>
        <v>🚨 立即报废 + 召回审计</v>
      </c>
    </row>
    <row r="20" spans="1:8">
      <c r="A20" s="2" t="str">
        <f ca="1"/>
        <v>FG-SG-240530-104</v>
      </c>
      <c r="B20" s="2" t="str">
        <f ca="1"/>
        <v>成品</v>
      </c>
      <c r="C20" s="2" t="str">
        <f ca="1"/>
        <v>TN-SG-003</v>
      </c>
      <c r="D20" s="69">
        <f ca="1"/>
        <v>46162</v>
      </c>
      <c r="E20" s="2">
        <f ca="1"/>
        <v>-3</v>
      </c>
      <c r="F20" s="2" t="str">
        <f ca="1"/>
        <v>过期</v>
      </c>
      <c r="G20" s="53">
        <f ca="1"/>
        <v>2856</v>
      </c>
      <c r="H20" s="2" t="str">
        <f t="shared" ca="1" si="0"/>
        <v>🚨 立即报废 + 召回审计</v>
      </c>
    </row>
    <row r="21" spans="1:8">
      <c r="A21" s="2" t="str">
        <f ca="1"/>
        <v>FG-TB-230607-092</v>
      </c>
      <c r="B21" s="2" t="str">
        <f ca="1"/>
        <v>成品</v>
      </c>
      <c r="C21" s="2" t="str">
        <f ca="1"/>
        <v>TN-TB-003</v>
      </c>
      <c r="D21" s="69">
        <f ca="1"/>
        <v>46164</v>
      </c>
      <c r="E21" s="2">
        <f ca="1"/>
        <v>-1</v>
      </c>
      <c r="F21" s="2" t="str">
        <f ca="1"/>
        <v>过期</v>
      </c>
      <c r="G21" s="53">
        <f ca="1"/>
        <v>625</v>
      </c>
      <c r="H21" s="2" t="str">
        <f t="shared" ca="1" si="0"/>
        <v>🚨 立即报废 + 召回审计</v>
      </c>
    </row>
    <row r="22" spans="1:8">
      <c r="A22" s="2" t="str">
        <f ca="1"/>
        <v>LOT-P007-2406-032</v>
      </c>
      <c r="B22" s="2" t="str">
        <f ca="1"/>
        <v>原料</v>
      </c>
      <c r="C22" s="2" t="str">
        <f ca="1"/>
        <v>N/A</v>
      </c>
      <c r="D22" s="69">
        <f ca="1"/>
        <v>46165</v>
      </c>
      <c r="E22" s="2">
        <f ca="1"/>
        <v>0</v>
      </c>
      <c r="F22" s="2" t="str">
        <f ca="1"/>
        <v>临期-红</v>
      </c>
      <c r="G22" s="53">
        <f ca="1"/>
        <v>24500</v>
      </c>
      <c r="H22" s="2" t="str">
        <f t="shared" ca="1" si="0"/>
        <v>⚡ 7天内促销/退货</v>
      </c>
    </row>
    <row r="23" spans="1:8">
      <c r="A23" s="2" t="str">
        <f ca="1"/>
        <v>LOT-P005-2406-020</v>
      </c>
      <c r="B23" s="2" t="str">
        <f ca="1"/>
        <v>原料</v>
      </c>
      <c r="C23" s="2" t="str">
        <f ca="1"/>
        <v>N/A</v>
      </c>
      <c r="D23" s="69">
        <f ca="1"/>
        <v>46167</v>
      </c>
      <c r="E23" s="2">
        <f ca="1"/>
        <v>2</v>
      </c>
      <c r="F23" s="2" t="str">
        <f ca="1"/>
        <v>临期-红</v>
      </c>
      <c r="G23" s="53">
        <f ca="1"/>
        <v>14000</v>
      </c>
      <c r="H23" s="2" t="str">
        <f t="shared" ca="1" si="0"/>
        <v>⚡ 7天内促销/退货</v>
      </c>
    </row>
    <row r="24" spans="1:8">
      <c r="A24" s="2" t="str">
        <f ca="1"/>
        <v>FG-PW-240604-007</v>
      </c>
      <c r="B24" s="2" t="str">
        <f ca="1"/>
        <v>成品</v>
      </c>
      <c r="C24" s="2" t="str">
        <f ca="1"/>
        <v>TN-PW-009</v>
      </c>
      <c r="D24" s="69">
        <f ca="1"/>
        <v>46167</v>
      </c>
      <c r="E24" s="2">
        <f ca="1"/>
        <v>2</v>
      </c>
      <c r="F24" s="2" t="str">
        <f ca="1"/>
        <v>临期-红</v>
      </c>
      <c r="G24" s="53">
        <f ca="1"/>
        <v>40152</v>
      </c>
      <c r="H24" s="2" t="str">
        <f t="shared" ca="1" si="0"/>
        <v>⚡ 7天内促销/退货</v>
      </c>
    </row>
    <row r="25" spans="1:8">
      <c r="A25" s="2" t="str">
        <f ca="1"/>
        <v>FG-HG-240606-004</v>
      </c>
      <c r="B25" s="2" t="str">
        <f ca="1"/>
        <v>成品</v>
      </c>
      <c r="C25" s="2" t="str">
        <f ca="1"/>
        <v>TN-HG-005</v>
      </c>
      <c r="D25" s="69">
        <f ca="1"/>
        <v>46169</v>
      </c>
      <c r="E25" s="2">
        <f ca="1"/>
        <v>4</v>
      </c>
      <c r="F25" s="2" t="str">
        <f ca="1"/>
        <v>临期-红</v>
      </c>
      <c r="G25" s="53">
        <f ca="1"/>
        <v>5339</v>
      </c>
      <c r="H25" s="2" t="str">
        <f t="shared" ca="1" si="0"/>
        <v>⚡ 7天内促销/退货</v>
      </c>
    </row>
    <row r="26" spans="1:8">
      <c r="A26" s="2" t="str">
        <f ca="1"/>
        <v>FG-SG-240610-062</v>
      </c>
      <c r="B26" s="2" t="str">
        <f ca="1"/>
        <v>成品</v>
      </c>
      <c r="C26" s="2" t="str">
        <f ca="1"/>
        <v>TN-SG-020</v>
      </c>
      <c r="D26" s="69">
        <f ca="1"/>
        <v>46173</v>
      </c>
      <c r="E26" s="2">
        <f ca="1"/>
        <v>8</v>
      </c>
      <c r="F26" s="2" t="str">
        <f ca="1"/>
        <v>临期-红</v>
      </c>
      <c r="G26" s="53">
        <f ca="1"/>
        <v>318</v>
      </c>
      <c r="H26" s="2" t="str">
        <f t="shared" ca="1" si="0"/>
        <v>⚡ 7天内促销/退货</v>
      </c>
    </row>
    <row r="27" spans="1:8">
      <c r="A27" s="2" t="str">
        <f ca="1"/>
        <v>LOT-P006-2306-028</v>
      </c>
      <c r="B27" s="2" t="str">
        <f ca="1"/>
        <v>原料</v>
      </c>
      <c r="C27" s="2" t="str">
        <f ca="1"/>
        <v>N/A</v>
      </c>
      <c r="D27" s="69">
        <f ca="1"/>
        <v>46174</v>
      </c>
      <c r="E27" s="2">
        <f ca="1"/>
        <v>9</v>
      </c>
      <c r="F27" s="2" t="str">
        <f ca="1"/>
        <v>临期-红</v>
      </c>
      <c r="G27" s="53">
        <f ca="1"/>
        <v>450</v>
      </c>
      <c r="H27" s="2" t="str">
        <f t="shared" ca="1" si="0"/>
        <v>⚡ 7天内促销/退货</v>
      </c>
    </row>
    <row r="28" spans="1:8">
      <c r="A28" s="2" t="str">
        <f ca="1"/>
        <v>FG-PW-240612-048</v>
      </c>
      <c r="B28" s="2" t="str">
        <f ca="1"/>
        <v>成品</v>
      </c>
      <c r="C28" s="2" t="str">
        <f ca="1"/>
        <v>TN-PW-010</v>
      </c>
      <c r="D28" s="69">
        <f ca="1"/>
        <v>46175</v>
      </c>
      <c r="E28" s="2">
        <f ca="1"/>
        <v>10</v>
      </c>
      <c r="F28" s="2" t="str">
        <f ca="1"/>
        <v>临期-红</v>
      </c>
      <c r="G28" s="53">
        <f ca="1"/>
        <v>111085</v>
      </c>
      <c r="H28" s="2" t="str">
        <f t="shared" ca="1" si="0"/>
        <v>⚡ 7天内促销/退货</v>
      </c>
    </row>
    <row r="29" spans="1:8">
      <c r="A29" s="2" t="str">
        <f ca="1"/>
        <v>FG-TB-240613-020</v>
      </c>
      <c r="B29" s="2" t="str">
        <f ca="1"/>
        <v>成品</v>
      </c>
      <c r="C29" s="2" t="str">
        <f ca="1"/>
        <v>TN-TB-017</v>
      </c>
      <c r="D29" s="69">
        <f ca="1"/>
        <v>46176</v>
      </c>
      <c r="E29" s="2">
        <f ca="1"/>
        <v>11</v>
      </c>
      <c r="F29" s="2" t="str">
        <f ca="1"/>
        <v>临期-红</v>
      </c>
      <c r="G29" s="53">
        <f ca="1"/>
        <v>9247</v>
      </c>
      <c r="H29" s="2" t="str">
        <f t="shared" ca="1" si="0"/>
        <v>⚡ 7天内促销/退货</v>
      </c>
    </row>
    <row r="30" spans="1:8">
      <c r="A30" s="2" t="str">
        <f ca="1"/>
        <v>FG-PW-241220-051</v>
      </c>
      <c r="B30" s="2" t="str">
        <f ca="1"/>
        <v>成品</v>
      </c>
      <c r="C30" s="2" t="str">
        <f ca="1"/>
        <v>TN-PW-002</v>
      </c>
      <c r="D30" s="69">
        <f ca="1"/>
        <v>46186</v>
      </c>
      <c r="E30" s="2">
        <f ca="1"/>
        <v>21</v>
      </c>
      <c r="F30" s="2" t="str">
        <f ca="1"/>
        <v>临期-红</v>
      </c>
      <c r="G30" s="53">
        <f ca="1"/>
        <v>143232</v>
      </c>
      <c r="H30" s="2" t="str">
        <f t="shared" ca="1" si="0"/>
        <v>⚡ 7天内促销/退货</v>
      </c>
    </row>
    <row r="31" spans="1:8">
      <c r="A31" s="2" t="str">
        <f ca="1"/>
        <v>FG-SG-240626-046</v>
      </c>
      <c r="B31" s="2" t="str">
        <f ca="1"/>
        <v>成品</v>
      </c>
      <c r="C31" s="2" t="str">
        <f ca="1"/>
        <v>TN-SG-002</v>
      </c>
      <c r="D31" s="69">
        <f ca="1"/>
        <v>46189</v>
      </c>
      <c r="E31" s="2">
        <f ca="1"/>
        <v>24</v>
      </c>
      <c r="F31" s="2" t="str">
        <f ca="1"/>
        <v>临期-红</v>
      </c>
      <c r="G31" s="53">
        <f ca="1"/>
        <v>1488</v>
      </c>
      <c r="H31" s="2" t="str">
        <f t="shared" ca="1" si="0"/>
        <v>⚡ 7天内促销/退货</v>
      </c>
    </row>
    <row r="32" spans="1:8">
      <c r="A32" s="2" t="str">
        <f ca="1"/>
        <v>FG-HG-240630-103</v>
      </c>
      <c r="B32" s="2" t="str">
        <f ca="1"/>
        <v>成品</v>
      </c>
      <c r="C32" s="2" t="str">
        <f ca="1"/>
        <v>TN-HG-011</v>
      </c>
      <c r="D32" s="69">
        <f ca="1"/>
        <v>46193</v>
      </c>
      <c r="E32" s="2">
        <f ca="1"/>
        <v>28</v>
      </c>
      <c r="F32" s="2" t="str">
        <f ca="1"/>
        <v>临期-红</v>
      </c>
      <c r="G32" s="53">
        <f ca="1"/>
        <v>662</v>
      </c>
      <c r="H32" s="2" t="str">
        <f t="shared" ca="1" si="0"/>
        <v>⚡ 7天内促销/退货</v>
      </c>
    </row>
    <row r="33" spans="1:8">
      <c r="A33" s="2" t="str">
        <f ca="1"/>
        <v>LOT-P003-2412-015</v>
      </c>
      <c r="B33" s="2" t="str">
        <f ca="1"/>
        <v>原料</v>
      </c>
      <c r="C33" s="2" t="str">
        <f ca="1"/>
        <v>N/A</v>
      </c>
      <c r="D33" s="69">
        <f ca="1"/>
        <v>46197</v>
      </c>
      <c r="E33" s="2">
        <f ca="1"/>
        <v>32</v>
      </c>
      <c r="F33" s="2" t="str">
        <f ca="1"/>
        <v>临期-橙</v>
      </c>
      <c r="G33" s="53">
        <f ca="1"/>
        <v>4513.5</v>
      </c>
      <c r="H33" s="2" t="str">
        <f t="shared" ca="1" si="0"/>
        <v>⚠️ 30天内对接销售折扣</v>
      </c>
    </row>
    <row r="34" spans="1:8">
      <c r="A34" s="2" t="str">
        <f ca="1"/>
        <v>LOT-P005-2407-023</v>
      </c>
      <c r="B34" s="2" t="str">
        <f ca="1"/>
        <v>原料</v>
      </c>
      <c r="C34" s="2" t="str">
        <f ca="1"/>
        <v>N/A</v>
      </c>
      <c r="D34" s="69">
        <f ca="1"/>
        <v>46197</v>
      </c>
      <c r="E34" s="2">
        <f ca="1"/>
        <v>32</v>
      </c>
      <c r="F34" s="2" t="str">
        <f ca="1"/>
        <v>临期-橙</v>
      </c>
      <c r="G34" s="53">
        <f ca="1"/>
        <v>23716</v>
      </c>
      <c r="H34" s="2" t="str">
        <f t="shared" ca="1" si="0"/>
        <v>⚠️ 30天内对接销售折扣</v>
      </c>
    </row>
    <row r="35" spans="1:8">
      <c r="A35" s="2" t="str">
        <f ca="1"/>
        <v>LOT-P006-2307-027</v>
      </c>
      <c r="B35" s="2" t="str">
        <f ca="1"/>
        <v>原料</v>
      </c>
      <c r="C35" s="2" t="str">
        <f ca="1"/>
        <v>N/A</v>
      </c>
      <c r="D35" s="69">
        <f ca="1"/>
        <v>46203</v>
      </c>
      <c r="E35" s="2">
        <f ca="1"/>
        <v>38</v>
      </c>
      <c r="F35" s="2" t="str">
        <f ca="1"/>
        <v>临期-橙</v>
      </c>
      <c r="G35" s="53">
        <f ca="1"/>
        <v>225</v>
      </c>
      <c r="H35" s="2" t="str">
        <f t="shared" ca="1" si="0"/>
        <v>⚠️ 30天内对接销售折扣</v>
      </c>
    </row>
    <row r="36" spans="1:8">
      <c r="A36" s="2" t="str">
        <f ca="1"/>
        <v>FG-HG-250106-016</v>
      </c>
      <c r="B36" s="2" t="str">
        <f ca="1"/>
        <v>成品</v>
      </c>
      <c r="C36" s="2" t="str">
        <f ca="1"/>
        <v>TN-HG-001</v>
      </c>
      <c r="D36" s="69">
        <f ca="1"/>
        <v>46203</v>
      </c>
      <c r="E36" s="2">
        <f ca="1"/>
        <v>38</v>
      </c>
      <c r="F36" s="2" t="str">
        <f ca="1"/>
        <v>临期-橙</v>
      </c>
      <c r="G36" s="53">
        <f ca="1"/>
        <v>1192</v>
      </c>
      <c r="H36" s="2" t="str">
        <f t="shared" ca="1" si="0"/>
        <v>⚠️ 30天内对接销售折扣</v>
      </c>
    </row>
    <row r="37" spans="1:8">
      <c r="A37" s="2" t="str">
        <f ca="1"/>
        <v>FG-PW-250110-017</v>
      </c>
      <c r="B37" s="2" t="str">
        <f ca="1"/>
        <v>成品</v>
      </c>
      <c r="C37" s="2" t="str">
        <f ca="1"/>
        <v>TN-PW-004</v>
      </c>
      <c r="D37" s="69">
        <f ca="1"/>
        <v>46207</v>
      </c>
      <c r="E37" s="2">
        <f ca="1"/>
        <v>42</v>
      </c>
      <c r="F37" s="2" t="str">
        <f ca="1"/>
        <v>临期-橙</v>
      </c>
      <c r="G37" s="53">
        <f ca="1"/>
        <v>65023</v>
      </c>
      <c r="H37" s="2" t="str">
        <f t="shared" ca="1" si="0"/>
        <v>⚠️ 30天内对接销售折扣</v>
      </c>
    </row>
    <row r="38" spans="1:8">
      <c r="A38" s="2" t="str">
        <f ca="1"/>
        <v>FG-HG-240714-120</v>
      </c>
      <c r="B38" s="2" t="str">
        <f ca="1"/>
        <v>成品</v>
      </c>
      <c r="C38" s="2" t="str">
        <f ca="1"/>
        <v>TN-HG-006</v>
      </c>
      <c r="D38" s="69">
        <f ca="1"/>
        <v>46207</v>
      </c>
      <c r="E38" s="2">
        <f ca="1"/>
        <v>42</v>
      </c>
      <c r="F38" s="2" t="str">
        <f ca="1"/>
        <v>临期-橙</v>
      </c>
      <c r="G38" s="53">
        <f ca="1"/>
        <v>865</v>
      </c>
      <c r="H38" s="2" t="str">
        <f t="shared" ca="1" si="0"/>
        <v>⚠️ 30天内对接销售折扣</v>
      </c>
    </row>
    <row r="39" spans="1:8">
      <c r="A39" s="2" t="str">
        <f ca="1"/>
        <v>FG-HG-250121-081</v>
      </c>
      <c r="B39" s="2" t="str">
        <f ca="1"/>
        <v>成品</v>
      </c>
      <c r="C39" s="2" t="str">
        <f ca="1"/>
        <v>TN-HG-003</v>
      </c>
      <c r="D39" s="69">
        <f ca="1"/>
        <v>46218</v>
      </c>
      <c r="E39" s="2">
        <f ca="1"/>
        <v>53</v>
      </c>
      <c r="F39" s="2" t="str">
        <f ca="1"/>
        <v>临期-橙</v>
      </c>
      <c r="G39" s="53">
        <f ca="1"/>
        <v>20325</v>
      </c>
      <c r="H39" s="2" t="str">
        <f t="shared" ca="1" si="0"/>
        <v>⚠️ 30天内对接销售折扣</v>
      </c>
    </row>
    <row r="40" spans="1:8">
      <c r="A40" s="2" t="str">
        <f ca="1"/>
        <v>FG-TB-230801-021</v>
      </c>
      <c r="B40" s="2" t="str">
        <f ca="1"/>
        <v>成品</v>
      </c>
      <c r="C40" s="2" t="str">
        <f ca="1"/>
        <v>TN-TB-001</v>
      </c>
      <c r="D40" s="69">
        <f ca="1"/>
        <v>46219</v>
      </c>
      <c r="E40" s="2">
        <f ca="1"/>
        <v>54</v>
      </c>
      <c r="F40" s="2" t="str">
        <f ca="1"/>
        <v>临期-橙</v>
      </c>
      <c r="G40" s="53">
        <f ca="1"/>
        <v>662</v>
      </c>
      <c r="H40" s="2" t="str">
        <f t="shared" ca="1" si="0"/>
        <v>⚠️ 30天内对接销售折扣</v>
      </c>
    </row>
    <row r="41" spans="1:8">
      <c r="A41" s="2" t="str">
        <f ca="1"/>
        <v>LOT-P011-2407-049</v>
      </c>
      <c r="B41" s="2" t="str">
        <f ca="1"/>
        <v>原料</v>
      </c>
      <c r="C41" s="2" t="str">
        <f ca="1"/>
        <v>N/A</v>
      </c>
      <c r="D41" s="69">
        <f ca="1"/>
        <v>46220</v>
      </c>
      <c r="E41" s="2">
        <f ca="1"/>
        <v>55</v>
      </c>
      <c r="F41" s="2" t="str">
        <f ca="1"/>
        <v>临期-橙</v>
      </c>
      <c r="G41" s="53">
        <f ca="1"/>
        <v>14804.999999999998</v>
      </c>
      <c r="H41" s="2" t="str">
        <f t="shared" ca="1" si="0"/>
        <v>⚠️ 30天内对接销售折扣</v>
      </c>
    </row>
    <row r="42" spans="1:8">
      <c r="A42" s="2" t="str">
        <f ca="1"/>
        <v>FG-PW-240728-033</v>
      </c>
      <c r="B42" s="2" t="str">
        <f ca="1"/>
        <v>成品</v>
      </c>
      <c r="C42" s="2" t="str">
        <f ca="1"/>
        <v>TN-PW-008</v>
      </c>
      <c r="D42" s="69">
        <f ca="1"/>
        <v>46221</v>
      </c>
      <c r="E42" s="2">
        <f ca="1"/>
        <v>56</v>
      </c>
      <c r="F42" s="2" t="str">
        <f ca="1"/>
        <v>临期-橙</v>
      </c>
      <c r="G42" s="53">
        <f ca="1"/>
        <v>42150</v>
      </c>
      <c r="H42" s="2" t="str">
        <f t="shared" ca="1" si="0"/>
        <v>⚠️ 30天内对接销售折扣</v>
      </c>
    </row>
    <row r="43" spans="1:8">
      <c r="A43" s="2" t="str">
        <f ca="1"/>
        <v>FG-SG-240730-026</v>
      </c>
      <c r="B43" s="2" t="str">
        <f ca="1"/>
        <v>成品</v>
      </c>
      <c r="C43" s="2" t="str">
        <f ca="1"/>
        <v>TN-SG-001</v>
      </c>
      <c r="D43" s="69">
        <f ca="1"/>
        <v>46223</v>
      </c>
      <c r="E43" s="2">
        <f ca="1"/>
        <v>58</v>
      </c>
      <c r="F43" s="2" t="str">
        <f ca="1"/>
        <v>临期-橙</v>
      </c>
      <c r="G43" s="53">
        <f ca="1"/>
        <v>138</v>
      </c>
      <c r="H43" s="2" t="str">
        <f t="shared" ca="1" si="0"/>
        <v>⚠️ 30天内对接销售折扣</v>
      </c>
    </row>
    <row r="44" spans="1:8">
      <c r="A44" s="2" t="str">
        <f ca="1"/>
        <v>LOT-P013-2308-058</v>
      </c>
      <c r="B44" s="2" t="str">
        <f ca="1"/>
        <v>原料</v>
      </c>
      <c r="C44" s="2" t="str">
        <f ca="1"/>
        <v>N/A</v>
      </c>
      <c r="D44" s="69">
        <f ca="1"/>
        <v>46227</v>
      </c>
      <c r="E44" s="2">
        <f ca="1"/>
        <v>62</v>
      </c>
      <c r="F44" s="2" t="str">
        <f ca="1"/>
        <v>临期-黄</v>
      </c>
      <c r="G44" s="53">
        <f ca="1"/>
        <v>1520</v>
      </c>
      <c r="H44" s="2" t="str">
        <f t="shared" ca="1" si="0"/>
        <v>📋 进入观察名单</v>
      </c>
    </row>
    <row r="45" spans="1:8">
      <c r="A45" s="2" t="str">
        <f ca="1"/>
        <v>FG-PW-250130-045</v>
      </c>
      <c r="B45" s="2" t="str">
        <f ca="1"/>
        <v>成品</v>
      </c>
      <c r="C45" s="2" t="str">
        <f ca="1"/>
        <v>TN-PW-002</v>
      </c>
      <c r="D45" s="69">
        <f ca="1"/>
        <v>46227</v>
      </c>
      <c r="E45" s="2">
        <f ca="1"/>
        <v>62</v>
      </c>
      <c r="F45" s="2" t="str">
        <f ca="1"/>
        <v>临期-黄</v>
      </c>
      <c r="G45" s="53">
        <f ca="1"/>
        <v>46560</v>
      </c>
      <c r="H45" s="2" t="str">
        <f t="shared" ca="1" si="0"/>
        <v>📋 进入观察名单</v>
      </c>
    </row>
    <row r="46" spans="1:8">
      <c r="A46" s="2" t="str">
        <f ca="1"/>
        <v>LOT-P013-2308-057</v>
      </c>
      <c r="B46" s="2" t="str">
        <f ca="1"/>
        <v>原料</v>
      </c>
      <c r="C46" s="2" t="str">
        <f ca="1"/>
        <v>N/A</v>
      </c>
      <c r="D46" s="69">
        <f ca="1"/>
        <v>46229</v>
      </c>
      <c r="E46" s="2">
        <f ca="1"/>
        <v>64</v>
      </c>
      <c r="F46" s="2" t="str">
        <f ca="1"/>
        <v>临期-黄</v>
      </c>
      <c r="G46" s="53">
        <f ca="1"/>
        <v>1520</v>
      </c>
      <c r="H46" s="2" t="str">
        <f t="shared" ca="1" si="0"/>
        <v>📋 进入观察名单</v>
      </c>
    </row>
    <row r="47" spans="1:8">
      <c r="A47" s="2" t="str">
        <f ca="1"/>
        <v>FG-SG-240805-066</v>
      </c>
      <c r="B47" s="2" t="str">
        <f ca="1"/>
        <v>成品</v>
      </c>
      <c r="C47" s="2" t="str">
        <f ca="1"/>
        <v>TN-SG-010</v>
      </c>
      <c r="D47" s="69">
        <f ca="1"/>
        <v>46229</v>
      </c>
      <c r="E47" s="2">
        <f ca="1"/>
        <v>64</v>
      </c>
      <c r="F47" s="2" t="str">
        <f ca="1"/>
        <v>临期-黄</v>
      </c>
      <c r="G47" s="53">
        <f ca="1"/>
        <v>7225</v>
      </c>
      <c r="H47" s="2" t="str">
        <f t="shared" ca="1" si="0"/>
        <v>📋 进入观察名单</v>
      </c>
    </row>
    <row r="48" spans="1:8">
      <c r="A48" s="2" t="str">
        <f ca="1"/>
        <v>FG-PW-240807-025</v>
      </c>
      <c r="B48" s="2" t="str">
        <f ca="1"/>
        <v>成品</v>
      </c>
      <c r="C48" s="2" t="str">
        <f ca="1"/>
        <v>TN-PW-008</v>
      </c>
      <c r="D48" s="69">
        <f ca="1"/>
        <v>46231</v>
      </c>
      <c r="E48" s="2">
        <f ca="1"/>
        <v>66</v>
      </c>
      <c r="F48" s="2" t="str">
        <f ca="1"/>
        <v>临期-黄</v>
      </c>
      <c r="G48" s="53">
        <f ca="1"/>
        <v>18750</v>
      </c>
      <c r="H48" s="2" t="str">
        <f t="shared" ca="1" si="0"/>
        <v>📋 进入观察名单</v>
      </c>
    </row>
    <row r="49" spans="1:8">
      <c r="A49" s="2" t="str">
        <f ca="1"/>
        <v>LOT-P012-2408-053</v>
      </c>
      <c r="B49" s="2" t="str">
        <f ca="1"/>
        <v>原料</v>
      </c>
      <c r="C49" s="2" t="str">
        <f ca="1"/>
        <v>N/A</v>
      </c>
      <c r="D49" s="69">
        <f ca="1"/>
        <v>46232</v>
      </c>
      <c r="E49" s="2">
        <f ca="1"/>
        <v>67</v>
      </c>
      <c r="F49" s="2" t="str">
        <f ca="1"/>
        <v>临期-黄</v>
      </c>
      <c r="G49" s="53">
        <f ca="1"/>
        <v>7770</v>
      </c>
      <c r="H49" s="2" t="str">
        <f t="shared" ca="1" si="0"/>
        <v>📋 进入观察名单</v>
      </c>
    </row>
    <row r="50" spans="1:8">
      <c r="A50" s="2" t="str">
        <f ca="1"/>
        <v>FG-PW-240809-039</v>
      </c>
      <c r="B50" s="2" t="str">
        <f ca="1"/>
        <v>成品</v>
      </c>
      <c r="C50" s="2" t="str">
        <f ca="1"/>
        <v>TN-PW-009</v>
      </c>
      <c r="D50" s="69">
        <f ca="1"/>
        <v>46233</v>
      </c>
      <c r="E50" s="2">
        <f ca="1"/>
        <v>68</v>
      </c>
      <c r="F50" s="2" t="str">
        <f ca="1"/>
        <v>临期-黄</v>
      </c>
      <c r="G50" s="53">
        <f ca="1"/>
        <v>13062</v>
      </c>
      <c r="H50" s="2" t="str">
        <f t="shared" ca="1" si="0"/>
        <v>📋 进入观察名单</v>
      </c>
    </row>
    <row r="51" spans="1:8">
      <c r="A51" s="2" t="str">
        <f ca="1"/>
        <v>FG-PW-240811-069</v>
      </c>
      <c r="B51" s="2" t="str">
        <f ca="1"/>
        <v>成品</v>
      </c>
      <c r="C51" s="2" t="str">
        <f ca="1"/>
        <v>TN-PW-010</v>
      </c>
      <c r="D51" s="69">
        <f ca="1"/>
        <v>46235</v>
      </c>
      <c r="E51" s="2">
        <f ca="1"/>
        <v>70</v>
      </c>
      <c r="F51" s="2" t="str">
        <f ca="1"/>
        <v>临期-黄</v>
      </c>
      <c r="G51" s="53">
        <f ca="1"/>
        <v>287040</v>
      </c>
      <c r="H51" s="2" t="str">
        <f t="shared" ca="1" si="0"/>
        <v>📋 进入观察名单</v>
      </c>
    </row>
    <row r="52" spans="1:8">
      <c r="A52" s="2" t="str">
        <f ca="1"/>
        <v>FG-SG-240812-002</v>
      </c>
      <c r="B52" s="2" t="str">
        <f ca="1"/>
        <v>成品</v>
      </c>
      <c r="C52" s="2" t="str">
        <f ca="1"/>
        <v>TN-SG-004</v>
      </c>
      <c r="D52" s="69">
        <f ca="1"/>
        <v>46236</v>
      </c>
      <c r="E52" s="2">
        <f ca="1"/>
        <v>71</v>
      </c>
      <c r="F52" s="2" t="str">
        <f ca="1"/>
        <v>临期-黄</v>
      </c>
      <c r="G52" s="53">
        <f ca="1"/>
        <v>11719</v>
      </c>
      <c r="H52" s="2" t="str">
        <f t="shared" ca="1" si="0"/>
        <v>📋 进入观察名单</v>
      </c>
    </row>
    <row r="53" spans="1:8">
      <c r="A53" s="2" t="str">
        <f ca="1"/>
        <v>FG-SG-240812-105</v>
      </c>
      <c r="B53" s="2" t="str">
        <f ca="1"/>
        <v>成品</v>
      </c>
      <c r="C53" s="2" t="str">
        <f ca="1"/>
        <v>TN-SG-001</v>
      </c>
      <c r="D53" s="69">
        <f ca="1"/>
        <v>46236</v>
      </c>
      <c r="E53" s="2">
        <f ca="1"/>
        <v>71</v>
      </c>
      <c r="F53" s="2" t="str">
        <f ca="1"/>
        <v>临期-黄</v>
      </c>
      <c r="G53" s="53">
        <f ca="1"/>
        <v>1722</v>
      </c>
      <c r="H53" s="2" t="str">
        <f t="shared" ca="1" si="0"/>
        <v>📋 进入观察名单</v>
      </c>
    </row>
    <row r="54" spans="1:8">
      <c r="A54" s="2" t="str">
        <f ca="1"/>
        <v>LOT-P008-2508-035</v>
      </c>
      <c r="B54" s="2" t="str">
        <f ca="1"/>
        <v>原料</v>
      </c>
      <c r="C54" s="2" t="str">
        <f ca="1"/>
        <v>N/A</v>
      </c>
      <c r="D54" s="69">
        <f ca="1"/>
        <v>46237</v>
      </c>
      <c r="E54" s="2">
        <f ca="1"/>
        <v>72</v>
      </c>
      <c r="F54" s="2" t="str">
        <f ca="1"/>
        <v>临期-黄</v>
      </c>
      <c r="G54" s="53">
        <f ca="1"/>
        <v>470960</v>
      </c>
      <c r="H54" s="2" t="str">
        <f t="shared" ca="1" si="0"/>
        <v>📋 进入观察名单</v>
      </c>
    </row>
    <row r="55" spans="1:8">
      <c r="A55" s="2" t="str">
        <f ca="1"/>
        <v>FG-HG-240814-096</v>
      </c>
      <c r="B55" s="2" t="str">
        <f ca="1"/>
        <v>成品</v>
      </c>
      <c r="C55" s="2" t="str">
        <f ca="1"/>
        <v>TN-HG-011</v>
      </c>
      <c r="D55" s="69">
        <f ca="1"/>
        <v>46238</v>
      </c>
      <c r="E55" s="2">
        <f ca="1"/>
        <v>73</v>
      </c>
      <c r="F55" s="2" t="str">
        <f ca="1"/>
        <v>临期-黄</v>
      </c>
      <c r="G55" s="53">
        <f ca="1"/>
        <v>146</v>
      </c>
      <c r="H55" s="2" t="str">
        <f t="shared" ca="1" si="0"/>
        <v>📋 进入观察名单</v>
      </c>
    </row>
    <row r="56" spans="1:8">
      <c r="A56" s="2" t="str">
        <f ca="1"/>
        <v>FG-HG-240818-005</v>
      </c>
      <c r="B56" s="2" t="str">
        <f ca="1"/>
        <v>成品</v>
      </c>
      <c r="C56" s="2" t="str">
        <f ca="1"/>
        <v>TN-HG-006</v>
      </c>
      <c r="D56" s="69">
        <f ca="1"/>
        <v>46242</v>
      </c>
      <c r="E56" s="2">
        <f ca="1"/>
        <v>77</v>
      </c>
      <c r="F56" s="2" t="str">
        <f ca="1"/>
        <v>临期-黄</v>
      </c>
      <c r="G56" s="53">
        <f ca="1"/>
        <v>2916</v>
      </c>
      <c r="H56" s="2" t="str">
        <f t="shared" ca="1" si="0"/>
        <v>📋 进入观察名单</v>
      </c>
    </row>
    <row r="57" spans="1:8">
      <c r="A57" s="2" t="str">
        <f ca="1"/>
        <v>FG-HG-240822-091</v>
      </c>
      <c r="B57" s="2" t="str">
        <f ca="1"/>
        <v>成品</v>
      </c>
      <c r="C57" s="2" t="str">
        <f ca="1"/>
        <v>TN-HG-008</v>
      </c>
      <c r="D57" s="69">
        <f ca="1"/>
        <v>46246</v>
      </c>
      <c r="E57" s="2">
        <f ca="1"/>
        <v>81</v>
      </c>
      <c r="F57" s="2" t="str">
        <f ca="1"/>
        <v>临期-黄</v>
      </c>
      <c r="G57" s="53">
        <f ca="1"/>
        <v>1001</v>
      </c>
      <c r="H57" s="2" t="str">
        <f t="shared" ca="1" si="0"/>
        <v>📋 进入观察名单</v>
      </c>
    </row>
    <row r="58" spans="1:8">
      <c r="A58" s="2" t="str">
        <f ca="1"/>
        <v>FG-TB-240823-116</v>
      </c>
      <c r="B58" s="2" t="str">
        <f ca="1"/>
        <v>成品</v>
      </c>
      <c r="C58" s="2" t="str">
        <f ca="1"/>
        <v>TN-TB-017</v>
      </c>
      <c r="D58" s="69">
        <f ca="1"/>
        <v>46247</v>
      </c>
      <c r="E58" s="2">
        <f ca="1"/>
        <v>82</v>
      </c>
      <c r="F58" s="2" t="str">
        <f ca="1"/>
        <v>临期-黄</v>
      </c>
      <c r="G58" s="53">
        <f ca="1"/>
        <v>9383</v>
      </c>
      <c r="H58" s="2" t="str">
        <f t="shared" ca="1" si="0"/>
        <v>📋 进入观察名单</v>
      </c>
    </row>
    <row r="59" spans="1:8">
      <c r="A59" s="2" t="str">
        <f ca="1"/>
        <v>FG-HG-240827-100</v>
      </c>
      <c r="B59" s="2" t="str">
        <f ca="1"/>
        <v>成品</v>
      </c>
      <c r="C59" s="2" t="str">
        <f ca="1"/>
        <v>TN-HG-006</v>
      </c>
      <c r="D59" s="69">
        <f ca="1"/>
        <v>46251</v>
      </c>
      <c r="E59" s="2">
        <f ca="1"/>
        <v>86</v>
      </c>
      <c r="F59" s="2" t="str">
        <f ca="1"/>
        <v>临期-黄</v>
      </c>
      <c r="G59" s="53">
        <f ca="1"/>
        <v>1482</v>
      </c>
      <c r="H59" s="2" t="str">
        <f t="shared" ca="1" si="0"/>
        <v>📋 进入观察名单</v>
      </c>
    </row>
    <row r="60" spans="1:8">
      <c r="A60" s="2" t="str">
        <f ca="1"/>
        <v>FG-SG-230902-022</v>
      </c>
      <c r="B60" s="2" t="str">
        <f ca="1"/>
        <v>成品</v>
      </c>
      <c r="C60" s="2" t="str">
        <f ca="1"/>
        <v>TN-SG-006</v>
      </c>
      <c r="D60" s="69">
        <f ca="1"/>
        <v>46251</v>
      </c>
      <c r="E60" s="2">
        <f ca="1"/>
        <v>86</v>
      </c>
      <c r="F60" s="2" t="str">
        <f ca="1"/>
        <v>临期-黄</v>
      </c>
      <c r="G60" s="53">
        <f ca="1"/>
        <v>449</v>
      </c>
      <c r="H60" s="2" t="str">
        <f t="shared" ca="1" si="0"/>
        <v>📋 进入观察名单</v>
      </c>
    </row>
    <row r="61" spans="1:8">
      <c r="A61" s="2" t="str">
        <f ca="1"/>
        <v>FG-HG-240831-037</v>
      </c>
      <c r="B61" s="2" t="str">
        <f ca="1"/>
        <v>成品</v>
      </c>
      <c r="C61" s="2" t="str">
        <f ca="1"/>
        <v>TN-HG-006</v>
      </c>
      <c r="D61" s="69">
        <f ca="1"/>
        <v>46255</v>
      </c>
      <c r="E61" s="2">
        <f ca="1"/>
        <v>90</v>
      </c>
      <c r="F61" s="2" t="str">
        <f ca="1"/>
        <v>临期-黄</v>
      </c>
      <c r="G61" s="53">
        <f ca="1"/>
        <v>1399</v>
      </c>
      <c r="H61" s="2" t="str">
        <f t="shared" ca="1" si="0"/>
        <v>📋 进入观察名单</v>
      </c>
    </row>
  </sheetData>
  <mergeCells count="1">
    <mergeCell ref="A2:H2"/>
  </mergeCells>
  <phoneticPr fontId="1" type="noConversion"/>
  <conditionalFormatting sqref="F5:F61">
    <cfRule type="expression" dxfId="8" priority="1">
      <formula>F5="临期-黄"</formula>
    </cfRule>
    <cfRule type="expression" dxfId="7" priority="2">
      <formula>"#FFE699"</formula>
    </cfRule>
    <cfRule type="expression" dxfId="6" priority="3">
      <formula>F5="临期-橙"</formula>
    </cfRule>
    <cfRule type="expression" dxfId="5" priority="4">
      <formula>F5="临期-红"</formula>
    </cfRule>
    <cfRule type="expression" dxfId="4" priority="5">
      <formula>F5="过期"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7754-C74E-4883-B8F9-1BDB6AD14B62}">
  <dimension ref="A1:F4"/>
  <sheetViews>
    <sheetView workbookViewId="0">
      <selection activeCell="E4" sqref="E4"/>
    </sheetView>
  </sheetViews>
  <sheetFormatPr defaultRowHeight="16.5"/>
  <cols>
    <col min="1" max="5" width="12.6640625" style="2" customWidth="1"/>
    <col min="6" max="6" width="14.4140625" style="2" customWidth="1"/>
    <col min="7" max="16384" width="8.6640625" style="2"/>
  </cols>
  <sheetData>
    <row r="1" spans="1:6" s="6" customFormat="1" ht="32" customHeight="1">
      <c r="A1" s="6" t="s">
        <v>75</v>
      </c>
    </row>
    <row r="2" spans="1:6" ht="23.5" customHeight="1">
      <c r="A2" s="38" t="s">
        <v>76</v>
      </c>
      <c r="B2" s="46"/>
      <c r="C2" s="46"/>
      <c r="D2" s="46"/>
      <c r="E2" s="46"/>
      <c r="F2" s="46"/>
    </row>
    <row r="3" spans="1:6" ht="23.5" customHeight="1"/>
    <row r="4" spans="1:6" s="11" customFormat="1" ht="32" customHeight="1">
      <c r="A4" s="4" t="s">
        <v>77</v>
      </c>
      <c r="B4" s="4" t="s">
        <v>39</v>
      </c>
      <c r="C4" s="4" t="s">
        <v>51</v>
      </c>
      <c r="D4" s="4" t="s">
        <v>61</v>
      </c>
      <c r="E4" s="4" t="s">
        <v>78</v>
      </c>
      <c r="F4" s="4" t="s">
        <v>79</v>
      </c>
    </row>
  </sheetData>
  <mergeCells count="1">
    <mergeCell ref="A2:F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D1D9-FCB9-4677-A9AA-3E52E625CE66}">
  <dimension ref="A1:L94"/>
  <sheetViews>
    <sheetView showGridLines="0" topLeftCell="A29" zoomScaleNormal="100" workbookViewId="0">
      <selection activeCell="H52" sqref="H52"/>
    </sheetView>
  </sheetViews>
  <sheetFormatPr defaultRowHeight="21.5"/>
  <cols>
    <col min="1" max="2" width="16.58203125" style="65" customWidth="1"/>
    <col min="3" max="7" width="16.58203125" style="5" customWidth="1"/>
    <col min="8" max="8" width="22.1640625" style="5" customWidth="1"/>
    <col min="9" max="15" width="16.58203125" style="5" customWidth="1"/>
    <col min="16" max="16384" width="8.6640625" style="5"/>
  </cols>
  <sheetData>
    <row r="1" spans="1:12" ht="32" customHeight="1">
      <c r="A1" s="56" t="s">
        <v>80</v>
      </c>
      <c r="B1" s="56"/>
      <c r="C1" s="56"/>
      <c r="D1" s="56"/>
      <c r="E1" s="56"/>
      <c r="F1" s="56"/>
      <c r="G1" s="56"/>
      <c r="H1" s="56"/>
    </row>
    <row r="2" spans="1:12">
      <c r="A2" s="38" t="s">
        <v>81</v>
      </c>
      <c r="B2" s="38"/>
      <c r="C2" s="38"/>
      <c r="D2" s="38"/>
      <c r="E2" s="38"/>
      <c r="F2" s="38"/>
      <c r="G2" s="38"/>
      <c r="H2" s="38"/>
    </row>
    <row r="4" spans="1:12" ht="32" customHeight="1">
      <c r="A4" s="55" t="s">
        <v>618</v>
      </c>
      <c r="B4" s="55"/>
      <c r="C4" s="55" t="s">
        <v>619</v>
      </c>
      <c r="D4" s="55"/>
      <c r="E4" s="55" t="s">
        <v>620</v>
      </c>
      <c r="F4" s="55"/>
      <c r="G4" s="55" t="s">
        <v>621</v>
      </c>
      <c r="H4" s="55"/>
    </row>
    <row r="5" spans="1:12">
      <c r="A5" s="57">
        <f>COUNTA('01_SKU档案'!A5:A100)</f>
        <v>80</v>
      </c>
      <c r="B5" s="57"/>
      <c r="C5" s="57">
        <f>COUNTA('02_原料库存'!A5:A100)</f>
        <v>58</v>
      </c>
      <c r="D5" s="57"/>
      <c r="E5" s="57">
        <f>COUNTA('03_WIP在制品'!A5:A100)</f>
        <v>30</v>
      </c>
      <c r="F5" s="57"/>
      <c r="G5" s="57">
        <f>COUNTA('04_成品库存'!A5:A200)</f>
        <v>120</v>
      </c>
      <c r="H5" s="57"/>
    </row>
    <row r="6" spans="1:12">
      <c r="A6" s="57"/>
      <c r="B6" s="57"/>
      <c r="C6" s="57"/>
      <c r="D6" s="57"/>
      <c r="E6" s="57"/>
      <c r="F6" s="57"/>
      <c r="G6" s="57"/>
      <c r="H6" s="57"/>
    </row>
    <row r="7" spans="1:12" ht="38.5" customHeight="1"/>
    <row r="8" spans="1:12" ht="32" customHeight="1">
      <c r="A8" s="54" t="s">
        <v>622</v>
      </c>
      <c r="B8" s="54"/>
      <c r="C8" s="54" t="s">
        <v>623</v>
      </c>
      <c r="D8" s="54"/>
      <c r="E8" s="54" t="s">
        <v>624</v>
      </c>
      <c r="F8" s="54"/>
      <c r="G8" s="54" t="s">
        <v>625</v>
      </c>
      <c r="H8" s="54"/>
    </row>
    <row r="9" spans="1:12">
      <c r="A9" s="58">
        <f>SUMPRODUCT('02_原料库存'!H5:H100, '02_原料库存'!I5:I100) + SUM('04_成品库存'!I5:I200)</f>
        <v>15018949.699999999</v>
      </c>
      <c r="B9" s="58"/>
      <c r="C9" s="59">
        <f ca="1">SUMIF('05_临期预警'!F:F,"过期",'05_临期预警'!G:G)</f>
        <v>200487</v>
      </c>
      <c r="D9" s="59"/>
      <c r="E9" s="60">
        <f ca="1">SUMIF('05_临期预警'!F:F,"临期-红",'05_临期预警'!G:G)</f>
        <v>350473</v>
      </c>
      <c r="F9" s="60"/>
      <c r="G9" s="61">
        <f ca="1">SUMIF('05_临期预警'!F:F,"临期-橙",'05_临期预警'!G:G)</f>
        <v>173614.5</v>
      </c>
      <c r="H9" s="61"/>
    </row>
    <row r="10" spans="1:12">
      <c r="A10" s="58"/>
      <c r="B10" s="58"/>
      <c r="C10" s="59"/>
      <c r="D10" s="59"/>
      <c r="E10" s="60"/>
      <c r="F10" s="60"/>
      <c r="G10" s="61"/>
      <c r="H10" s="61"/>
    </row>
    <row r="11" spans="1:12" ht="45" customHeight="1"/>
    <row r="12" spans="1:12" ht="33.5">
      <c r="A12" s="70" t="s">
        <v>626</v>
      </c>
      <c r="J12" s="62" t="s">
        <v>633</v>
      </c>
    </row>
    <row r="13" spans="1:12">
      <c r="A13" s="66" t="s">
        <v>627</v>
      </c>
      <c r="B13" s="66" t="s">
        <v>628</v>
      </c>
      <c r="J13" s="2" t="s">
        <v>634</v>
      </c>
      <c r="K13" s="2" t="s">
        <v>628</v>
      </c>
      <c r="L13" s="2"/>
    </row>
    <row r="14" spans="1:12">
      <c r="A14" s="67" t="s">
        <v>629</v>
      </c>
      <c r="B14" s="67">
        <f>COUNTIF('01_SKU档案'!C:C,"软胶囊")</f>
        <v>22</v>
      </c>
      <c r="J14" s="2" t="s">
        <v>635</v>
      </c>
      <c r="K14" s="2">
        <f>COUNTIF('01_SKU档案'!E:E,"Bright Future CN")</f>
        <v>21</v>
      </c>
      <c r="L14" s="2"/>
    </row>
    <row r="15" spans="1:12">
      <c r="A15" s="67" t="s">
        <v>630</v>
      </c>
      <c r="B15" s="67">
        <f>COUNTIF('01_SKU档案'!C:C,"硬胶囊")</f>
        <v>24</v>
      </c>
      <c r="J15" s="2" t="s">
        <v>636</v>
      </c>
      <c r="K15" s="2">
        <f>COUNTIF('01_SKU档案'!E:E,"PureLife AU")</f>
        <v>24</v>
      </c>
      <c r="L15" s="2"/>
    </row>
    <row r="16" spans="1:12">
      <c r="A16" s="67" t="s">
        <v>631</v>
      </c>
      <c r="B16" s="67">
        <f>COUNTIF('01_SKU档案'!C:C,"片剂")</f>
        <v>18</v>
      </c>
      <c r="J16" s="2" t="s">
        <v>637</v>
      </c>
      <c r="K16" s="2">
        <f>COUNTIF('01_SKU档案'!E:E,"VitalPath US")</f>
        <v>12</v>
      </c>
      <c r="L16" s="2"/>
    </row>
    <row r="17" spans="1:12">
      <c r="A17" s="67" t="s">
        <v>632</v>
      </c>
      <c r="B17" s="67">
        <f>COUNTIF('01_SKU档案'!C:C,"粉剂")</f>
        <v>16</v>
      </c>
      <c r="J17" s="2" t="s">
        <v>638</v>
      </c>
      <c r="K17" s="2">
        <f>COUNTIF('01_SKU档案'!E:E,"KiwiHealth SEA")</f>
        <v>23</v>
      </c>
      <c r="L17" s="2"/>
    </row>
    <row r="18" spans="1:12">
      <c r="A18" s="67"/>
      <c r="B18" s="67"/>
      <c r="J18" s="2"/>
      <c r="K18" s="2"/>
      <c r="L18" s="2"/>
    </row>
    <row r="19" spans="1:12">
      <c r="A19" s="67"/>
      <c r="B19" s="67"/>
      <c r="J19" s="2"/>
      <c r="K19" s="2"/>
      <c r="L19" s="2"/>
    </row>
    <row r="20" spans="1:12">
      <c r="A20" s="67"/>
      <c r="B20" s="67"/>
    </row>
    <row r="21" spans="1:12">
      <c r="A21" s="67"/>
      <c r="B21" s="67"/>
    </row>
    <row r="22" spans="1:12">
      <c r="A22" s="67"/>
      <c r="B22" s="67"/>
    </row>
    <row r="23" spans="1:12">
      <c r="A23" s="67"/>
      <c r="B23" s="67"/>
    </row>
    <row r="24" spans="1:12" ht="24" customHeight="1">
      <c r="A24" s="63" t="s">
        <v>639</v>
      </c>
      <c r="B24" s="63"/>
      <c r="C24" s="63"/>
      <c r="D24" s="63"/>
      <c r="E24" s="63"/>
      <c r="F24" s="63"/>
      <c r="G24" s="63"/>
      <c r="H24" s="63"/>
    </row>
    <row r="25" spans="1:12" s="2" customFormat="1" ht="16.5">
      <c r="A25" s="68" t="s">
        <v>640</v>
      </c>
      <c r="B25" s="64" t="s">
        <v>641</v>
      </c>
      <c r="C25" s="64" t="s">
        <v>647</v>
      </c>
      <c r="D25" s="64" t="s">
        <v>642</v>
      </c>
      <c r="E25" s="64" t="s">
        <v>643</v>
      </c>
      <c r="F25" s="64" t="s">
        <v>644</v>
      </c>
      <c r="G25" s="64" t="s">
        <v>645</v>
      </c>
      <c r="H25" s="64" t="s">
        <v>646</v>
      </c>
      <c r="I25" s="71"/>
    </row>
    <row r="26" spans="1:12" s="2" customFormat="1" ht="33">
      <c r="A26" s="67" t="str" cm="1">
        <f t="array" aca="1" ref="A26:H35" ca="1">_xlfn.TAKE('05_临期预警'!A5:H100,10)</f>
        <v>FG-HG-240926-090</v>
      </c>
      <c r="B26" s="2" t="str">
        <f ca="1"/>
        <v>成品</v>
      </c>
      <c r="C26" s="69" t="str">
        <f ca="1"/>
        <v>TN-HG-002</v>
      </c>
      <c r="D26" s="69">
        <f ca="1"/>
        <v>46101</v>
      </c>
      <c r="E26" s="2">
        <f ca="1"/>
        <v>-64</v>
      </c>
      <c r="F26" s="2" t="str">
        <f ca="1"/>
        <v>过期</v>
      </c>
      <c r="G26" s="53">
        <f ca="1"/>
        <v>10103</v>
      </c>
      <c r="H26" s="67" t="str">
        <f ca="1"/>
        <v>🚨 立即报废 + 召回审计</v>
      </c>
    </row>
    <row r="27" spans="1:12" s="2" customFormat="1" ht="33">
      <c r="A27" s="67" t="str">
        <f ca="1"/>
        <v>FG-PW-241003-086</v>
      </c>
      <c r="B27" s="2" t="str">
        <f ca="1"/>
        <v>成品</v>
      </c>
      <c r="C27" s="69" t="str">
        <f ca="1"/>
        <v>TN-PW-003</v>
      </c>
      <c r="D27" s="69">
        <f ca="1"/>
        <v>46108</v>
      </c>
      <c r="E27" s="2">
        <f ca="1"/>
        <v>-57</v>
      </c>
      <c r="F27" s="2" t="str">
        <f ca="1"/>
        <v>过期</v>
      </c>
      <c r="G27" s="53">
        <f ca="1"/>
        <v>9500</v>
      </c>
      <c r="H27" s="67" t="str">
        <f ca="1"/>
        <v>🚨 立即报废 + 召回审计</v>
      </c>
    </row>
    <row r="28" spans="1:12" s="2" customFormat="1" ht="33">
      <c r="A28" s="67" t="str">
        <f ca="1"/>
        <v>FG-PW-241007-040</v>
      </c>
      <c r="B28" s="2" t="str">
        <f ca="1"/>
        <v>成品</v>
      </c>
      <c r="C28" s="69" t="str">
        <f ca="1"/>
        <v>TN-PW-003</v>
      </c>
      <c r="D28" s="69">
        <f ca="1"/>
        <v>46112</v>
      </c>
      <c r="E28" s="2">
        <f ca="1"/>
        <v>-53</v>
      </c>
      <c r="F28" s="2" t="str">
        <f ca="1"/>
        <v>过期</v>
      </c>
      <c r="G28" s="53">
        <f ca="1"/>
        <v>7600</v>
      </c>
      <c r="H28" s="67" t="str">
        <f ca="1"/>
        <v>🚨 立即报废 + 召回审计</v>
      </c>
    </row>
    <row r="29" spans="1:12" s="2" customFormat="1" ht="33">
      <c r="A29" s="67" t="str">
        <f ca="1"/>
        <v>FG-SG-240412-011</v>
      </c>
      <c r="B29" s="2" t="str">
        <f ca="1"/>
        <v>成品</v>
      </c>
      <c r="C29" s="69" t="str">
        <f ca="1"/>
        <v>TN-SG-001</v>
      </c>
      <c r="D29" s="69">
        <f ca="1"/>
        <v>46114</v>
      </c>
      <c r="E29" s="2">
        <f ca="1"/>
        <v>-51</v>
      </c>
      <c r="F29" s="2" t="str">
        <f ca="1"/>
        <v>过期</v>
      </c>
      <c r="G29" s="53">
        <f ca="1"/>
        <v>884</v>
      </c>
      <c r="H29" s="67" t="str">
        <f ca="1"/>
        <v>🚨 立即报废 + 召回审计</v>
      </c>
    </row>
    <row r="30" spans="1:12" s="2" customFormat="1" ht="33">
      <c r="A30" s="67" t="str">
        <f ca="1"/>
        <v>FG-TB-230419-012</v>
      </c>
      <c r="B30" s="2" t="str">
        <f ca="1"/>
        <v>成品</v>
      </c>
      <c r="C30" s="69" t="str">
        <f ca="1"/>
        <v>TN-TB-004</v>
      </c>
      <c r="D30" s="69">
        <f ca="1"/>
        <v>46115</v>
      </c>
      <c r="E30" s="2">
        <f ca="1"/>
        <v>-50</v>
      </c>
      <c r="F30" s="2" t="str">
        <f ca="1"/>
        <v>过期</v>
      </c>
      <c r="G30" s="53">
        <f ca="1"/>
        <v>5412</v>
      </c>
      <c r="H30" s="67" t="str">
        <f ca="1"/>
        <v>🚨 立即报废 + 召回审计</v>
      </c>
    </row>
    <row r="31" spans="1:12" s="2" customFormat="1" ht="33">
      <c r="A31" s="67" t="str">
        <f ca="1"/>
        <v>FG-SG-240417-075</v>
      </c>
      <c r="B31" s="2" t="str">
        <f ca="1"/>
        <v>成品</v>
      </c>
      <c r="C31" s="69" t="str">
        <f ca="1"/>
        <v>TN-SG-010</v>
      </c>
      <c r="D31" s="69">
        <f ca="1"/>
        <v>46119</v>
      </c>
      <c r="E31" s="2">
        <f ca="1"/>
        <v>-46</v>
      </c>
      <c r="F31" s="2" t="str">
        <f ca="1"/>
        <v>过期</v>
      </c>
      <c r="G31" s="53">
        <f ca="1"/>
        <v>4551</v>
      </c>
      <c r="H31" s="67" t="str">
        <f ca="1"/>
        <v>🚨 立即报废 + 召回审计</v>
      </c>
    </row>
    <row r="32" spans="1:12" s="2" customFormat="1" ht="33">
      <c r="A32" s="67" t="str">
        <f ca="1"/>
        <v>FG-SG-240426-065</v>
      </c>
      <c r="B32" s="2" t="str">
        <f ca="1"/>
        <v>成品</v>
      </c>
      <c r="C32" s="69" t="str">
        <f ca="1"/>
        <v>TN-SG-020</v>
      </c>
      <c r="D32" s="69">
        <f ca="1"/>
        <v>46128</v>
      </c>
      <c r="E32" s="2">
        <f ca="1"/>
        <v>-37</v>
      </c>
      <c r="F32" s="2" t="str">
        <f ca="1"/>
        <v>过期</v>
      </c>
      <c r="G32" s="53">
        <f ca="1"/>
        <v>312</v>
      </c>
      <c r="H32" s="67" t="str">
        <f ca="1"/>
        <v>🚨 立即报废 + 召回审计</v>
      </c>
    </row>
    <row r="33" spans="1:8" s="2" customFormat="1" ht="33">
      <c r="A33" s="67" t="str">
        <f ca="1"/>
        <v>FG-HG-241104-068</v>
      </c>
      <c r="B33" s="2" t="str">
        <f ca="1"/>
        <v>成品</v>
      </c>
      <c r="C33" s="69" t="str">
        <f ca="1"/>
        <v>TN-HG-002</v>
      </c>
      <c r="D33" s="69">
        <f ca="1"/>
        <v>46140</v>
      </c>
      <c r="E33" s="2">
        <f ca="1"/>
        <v>-25</v>
      </c>
      <c r="F33" s="2" t="str">
        <f ca="1"/>
        <v>过期</v>
      </c>
      <c r="G33" s="53">
        <f ca="1"/>
        <v>15097</v>
      </c>
      <c r="H33" s="67" t="str">
        <f ca="1"/>
        <v>🚨 立即报废 + 召回审计</v>
      </c>
    </row>
    <row r="34" spans="1:8" s="2" customFormat="1" ht="33">
      <c r="A34" s="67" t="str">
        <f ca="1"/>
        <v>LOT-P008-2505-037</v>
      </c>
      <c r="B34" s="2" t="str">
        <f ca="1"/>
        <v>原料</v>
      </c>
      <c r="C34" s="69" t="str">
        <f ca="1"/>
        <v>N/A</v>
      </c>
      <c r="D34" s="69">
        <f ca="1"/>
        <v>46144</v>
      </c>
      <c r="E34" s="2">
        <f ca="1"/>
        <v>-21</v>
      </c>
      <c r="F34" s="2" t="str">
        <f ca="1"/>
        <v>过期</v>
      </c>
      <c r="G34" s="53">
        <f ca="1"/>
        <v>21750</v>
      </c>
      <c r="H34" s="67" t="str">
        <f ca="1"/>
        <v>🚨 立即报废 + 召回审计</v>
      </c>
    </row>
    <row r="35" spans="1:8" s="2" customFormat="1" ht="16.5">
      <c r="A35" s="67" t="str">
        <f ca="1"/>
        <v>LOT-P002-2405-008</v>
      </c>
      <c r="B35" s="2" t="str">
        <f ca="1"/>
        <v>原料</v>
      </c>
      <c r="C35" s="69" t="str">
        <f ca="1"/>
        <v>N/A</v>
      </c>
      <c r="D35" s="69">
        <f ca="1"/>
        <v>46147</v>
      </c>
      <c r="E35" s="2">
        <f ca="1"/>
        <v>-18</v>
      </c>
      <c r="F35" s="2" t="str">
        <f ca="1"/>
        <v>过期</v>
      </c>
      <c r="G35" s="53">
        <f ca="1"/>
        <v>12000</v>
      </c>
      <c r="H35" s="67" t="str">
        <f ca="1"/>
        <v>🚨 立即报废 + 召回审计</v>
      </c>
    </row>
    <row r="38" spans="1:8">
      <c r="A38" s="83" t="s">
        <v>648</v>
      </c>
      <c r="B38" s="83"/>
      <c r="C38" s="83"/>
      <c r="D38" s="83"/>
      <c r="E38" s="83"/>
      <c r="F38" s="83"/>
      <c r="G38" s="83"/>
      <c r="H38" s="83"/>
    </row>
    <row r="39" spans="1:8" s="2" customFormat="1" ht="27" customHeight="1">
      <c r="A39" s="74" t="s">
        <v>650</v>
      </c>
      <c r="B39" s="74"/>
      <c r="C39" s="74"/>
      <c r="D39" s="74"/>
      <c r="E39" s="74"/>
      <c r="F39" s="74"/>
      <c r="G39" s="74"/>
      <c r="H39" s="74"/>
    </row>
    <row r="40" spans="1:8" s="2" customFormat="1" ht="17" thickBot="1">
      <c r="A40" s="67"/>
      <c r="B40" s="67"/>
    </row>
    <row r="41" spans="1:8" s="2" customFormat="1" ht="17.5" thickTop="1" thickBot="1">
      <c r="A41" s="75" t="s">
        <v>651</v>
      </c>
      <c r="B41" s="79" t="s">
        <v>660</v>
      </c>
    </row>
    <row r="42" spans="1:8" s="2" customFormat="1" ht="17" thickTop="1">
      <c r="A42" s="67"/>
      <c r="B42" s="67"/>
    </row>
    <row r="43" spans="1:8" s="2" customFormat="1" ht="16.5">
      <c r="A43" s="76" t="s">
        <v>652</v>
      </c>
      <c r="B43" s="76" t="s">
        <v>653</v>
      </c>
      <c r="C43" s="77" t="s">
        <v>654</v>
      </c>
      <c r="D43" s="77" t="s">
        <v>655</v>
      </c>
      <c r="E43" s="77" t="s">
        <v>656</v>
      </c>
    </row>
    <row r="44" spans="1:8" s="2" customFormat="1" ht="27">
      <c r="A44" s="66" t="s">
        <v>657</v>
      </c>
      <c r="B44" s="72" t="str">
        <f>B41</f>
        <v>FG-SG-260522-031</v>
      </c>
      <c r="C44" s="72" t="str">
        <f>IFERROR(VLOOKUP(B41,'04_成品库存'!A:J,3,FALSE),"❌ 未找到此批号")</f>
        <v>Vitamin D3 5000IU Softgel</v>
      </c>
      <c r="D44" s="2">
        <f>IFERROR(VLOOKUP(B41,'04_成品库存'!A:J,8,FALSE),"")</f>
        <v>2997</v>
      </c>
      <c r="E44" s="69">
        <f>IFERROR(VLOOKUP(B41,'04_成品库存'!A:J,5,FALSE),"")</f>
        <v>46164</v>
      </c>
    </row>
    <row r="45" spans="1:8" s="2" customFormat="1" ht="16.5">
      <c r="A45" s="78" t="s">
        <v>658</v>
      </c>
      <c r="B45" s="72" t="str">
        <f>IFERROR(VLOOKUP(B41,'04_成品库存'!A:J,4,FALSE),"")</f>
        <v>WIP-2605-002</v>
      </c>
      <c r="C45" s="72" t="str">
        <f>IFERROR(VLOOKUP(B45,'03_WIP在制品'!A:I,8,FALSE),"(可能是历史批次)")</f>
        <v>QA检测</v>
      </c>
      <c r="D45" s="2">
        <f>IFERROR(VLOOKUP(B45,'03_WIP在制品'!A:I,7,FALSE),"")</f>
        <v>13030</v>
      </c>
      <c r="E45" s="69">
        <f>IFERROR(VLOOKUP(B45,'03_WIP在制品'!A:I,4,FALSE),"")</f>
        <v>46152</v>
      </c>
    </row>
    <row r="46" spans="1:8" s="2" customFormat="1" ht="40">
      <c r="A46" s="78" t="s">
        <v>659</v>
      </c>
      <c r="B46" s="72" t="str">
        <f>IFERROR(VLOOKUP(B45,'03_WIP在制品'!A:I,3,FALSE),"")</f>
        <v>LOT-P009-2604-041</v>
      </c>
      <c r="C46" s="72" t="str">
        <f>IFERROR(VLOOKUP(B46,'02_原料库存'!A:J,3,FALSE)&amp;" / "&amp;VLOOKUP(B46,'02_原料库存'!A:J,4,FALSE),"")</f>
        <v>DSM Nutritional Products / 原料-维生素D3</v>
      </c>
      <c r="D46" s="2">
        <f>IFERROR(VLOOKUP(B46,'02_原料库存'!A:J,7,FALSE),"")</f>
        <v>300</v>
      </c>
      <c r="E46" s="69">
        <f>IFERROR(VLOOKUP(B46,'02_原料库存'!A:J,5,FALSE),"")</f>
        <v>46136</v>
      </c>
    </row>
    <row r="47" spans="1:8" s="2" customFormat="1" ht="16.5">
      <c r="A47" s="78"/>
      <c r="B47" s="72"/>
    </row>
    <row r="48" spans="1:8" s="2" customFormat="1" ht="49">
      <c r="A48" s="82" t="s">
        <v>661</v>
      </c>
      <c r="B48" s="73"/>
      <c r="C48" s="81"/>
      <c r="D48" s="81"/>
      <c r="E48" s="81"/>
    </row>
    <row r="49" spans="1:5" s="2" customFormat="1" ht="16.5">
      <c r="A49" s="80"/>
      <c r="B49" s="73"/>
      <c r="C49" s="81"/>
      <c r="D49" s="81"/>
      <c r="E49" s="81"/>
    </row>
    <row r="50" spans="1:5" s="2" customFormat="1" ht="16.5">
      <c r="A50" s="80"/>
      <c r="B50" s="73"/>
      <c r="C50" s="81"/>
      <c r="D50" s="81"/>
      <c r="E50" s="81"/>
    </row>
    <row r="51" spans="1:5" s="2" customFormat="1" ht="16.5">
      <c r="A51" s="80"/>
      <c r="B51" s="73"/>
      <c r="C51" s="81"/>
      <c r="D51" s="81"/>
      <c r="E51" s="81"/>
    </row>
    <row r="52" spans="1:5" s="2" customFormat="1" ht="16.5">
      <c r="A52" s="73"/>
      <c r="B52" s="73"/>
      <c r="C52" s="81"/>
      <c r="D52" s="81"/>
      <c r="E52" s="81"/>
    </row>
    <row r="53" spans="1:5" s="2" customFormat="1" ht="16.5">
      <c r="A53" s="73"/>
      <c r="B53" s="73"/>
      <c r="C53" s="81"/>
      <c r="D53" s="81"/>
      <c r="E53" s="81"/>
    </row>
    <row r="54" spans="1:5" s="2" customFormat="1" ht="16.5">
      <c r="A54" s="73"/>
      <c r="B54" s="73"/>
      <c r="C54" s="81"/>
      <c r="D54" s="81"/>
      <c r="E54" s="81"/>
    </row>
    <row r="55" spans="1:5" s="2" customFormat="1" ht="16.5">
      <c r="A55" s="73"/>
      <c r="B55" s="73"/>
      <c r="C55" s="81"/>
      <c r="D55" s="81"/>
      <c r="E55" s="81"/>
    </row>
    <row r="56" spans="1:5" s="2" customFormat="1" ht="16.5">
      <c r="A56" s="73"/>
      <c r="B56" s="73"/>
      <c r="C56" s="81"/>
      <c r="D56" s="81"/>
      <c r="E56" s="81"/>
    </row>
    <row r="57" spans="1:5" s="2" customFormat="1" ht="16.5">
      <c r="A57" s="73"/>
      <c r="B57" s="73"/>
      <c r="C57" s="81"/>
      <c r="D57" s="81"/>
      <c r="E57" s="81"/>
    </row>
    <row r="58" spans="1:5" s="2" customFormat="1" ht="16.5">
      <c r="A58" s="73"/>
      <c r="B58" s="73"/>
      <c r="C58" s="81"/>
      <c r="D58" s="81"/>
      <c r="E58" s="81"/>
    </row>
    <row r="59" spans="1:5" s="2" customFormat="1" ht="16.5">
      <c r="A59" s="73"/>
      <c r="B59" s="73"/>
      <c r="C59" s="81"/>
      <c r="D59" s="81"/>
      <c r="E59" s="81"/>
    </row>
    <row r="60" spans="1:5" s="2" customFormat="1" ht="16.5">
      <c r="A60" s="73"/>
      <c r="B60" s="73"/>
      <c r="C60" s="81"/>
      <c r="D60" s="81"/>
      <c r="E60" s="81"/>
    </row>
    <row r="61" spans="1:5" s="2" customFormat="1" ht="16.5">
      <c r="A61" s="73"/>
      <c r="B61" s="73"/>
      <c r="C61" s="81"/>
      <c r="D61" s="81"/>
      <c r="E61" s="81"/>
    </row>
    <row r="62" spans="1:5" s="2" customFormat="1" ht="16.5">
      <c r="A62" s="73"/>
      <c r="B62" s="73"/>
      <c r="C62" s="81"/>
      <c r="D62" s="81"/>
      <c r="E62" s="81"/>
    </row>
    <row r="63" spans="1:5" s="2" customFormat="1" ht="16.5">
      <c r="A63" s="73"/>
      <c r="B63" s="73"/>
      <c r="C63" s="81"/>
      <c r="D63" s="81"/>
      <c r="E63" s="81"/>
    </row>
    <row r="64" spans="1:5" s="2" customFormat="1" ht="16.5">
      <c r="A64" s="73"/>
      <c r="B64" s="73"/>
      <c r="C64" s="81"/>
      <c r="D64" s="81"/>
      <c r="E64" s="81"/>
    </row>
    <row r="65" spans="1:5" s="2" customFormat="1" ht="16.5">
      <c r="A65" s="73"/>
      <c r="B65" s="73"/>
      <c r="C65" s="81"/>
      <c r="D65" s="81"/>
      <c r="E65" s="81"/>
    </row>
    <row r="66" spans="1:5" s="2" customFormat="1" ht="16.5">
      <c r="A66" s="73"/>
      <c r="B66" s="73"/>
      <c r="C66" s="81"/>
      <c r="D66" s="81"/>
      <c r="E66" s="81"/>
    </row>
    <row r="67" spans="1:5" s="2" customFormat="1" ht="16.5">
      <c r="A67" s="73"/>
      <c r="B67" s="73"/>
      <c r="C67" s="81"/>
      <c r="D67" s="81"/>
      <c r="E67" s="81"/>
    </row>
    <row r="68" spans="1:5" s="2" customFormat="1" ht="16.5">
      <c r="A68" s="73"/>
      <c r="B68" s="73"/>
      <c r="C68" s="81"/>
      <c r="D68" s="81"/>
      <c r="E68" s="81"/>
    </row>
    <row r="69" spans="1:5" s="2" customFormat="1" ht="16.5">
      <c r="A69" s="67"/>
      <c r="B69" s="67"/>
    </row>
    <row r="70" spans="1:5" s="2" customFormat="1" ht="16.5">
      <c r="A70" s="67"/>
      <c r="B70" s="67"/>
    </row>
    <row r="71" spans="1:5" s="2" customFormat="1" ht="16.5">
      <c r="A71" s="67"/>
      <c r="B71" s="67"/>
    </row>
    <row r="72" spans="1:5" s="2" customFormat="1" ht="16.5">
      <c r="A72" s="67"/>
      <c r="B72" s="67"/>
    </row>
    <row r="73" spans="1:5" s="2" customFormat="1" ht="16.5">
      <c r="A73" s="67"/>
      <c r="B73" s="67"/>
    </row>
    <row r="74" spans="1:5" s="2" customFormat="1" ht="16.5">
      <c r="A74" s="67"/>
      <c r="B74" s="67"/>
    </row>
    <row r="75" spans="1:5" s="2" customFormat="1" ht="16.5">
      <c r="A75" s="67"/>
      <c r="B75" s="67"/>
    </row>
    <row r="76" spans="1:5" s="2" customFormat="1" ht="16.5">
      <c r="A76" s="67"/>
      <c r="B76" s="67"/>
    </row>
    <row r="77" spans="1:5" s="2" customFormat="1" ht="16.5">
      <c r="A77" s="67"/>
      <c r="B77" s="67"/>
    </row>
    <row r="78" spans="1:5" s="2" customFormat="1" ht="16.5">
      <c r="A78" s="67"/>
      <c r="B78" s="67"/>
    </row>
    <row r="79" spans="1:5" s="2" customFormat="1" ht="16.5">
      <c r="A79" s="67"/>
      <c r="B79" s="67"/>
    </row>
    <row r="80" spans="1:5" s="2" customFormat="1" ht="16.5">
      <c r="A80" s="67"/>
      <c r="B80" s="67"/>
    </row>
    <row r="81" spans="1:2" s="2" customFormat="1" ht="16.5">
      <c r="A81" s="67"/>
      <c r="B81" s="67"/>
    </row>
    <row r="82" spans="1:2" s="2" customFormat="1" ht="16.5">
      <c r="A82" s="67"/>
      <c r="B82" s="67"/>
    </row>
    <row r="83" spans="1:2" s="2" customFormat="1" ht="16.5">
      <c r="A83" s="67"/>
      <c r="B83" s="67"/>
    </row>
    <row r="84" spans="1:2" s="2" customFormat="1" ht="16.5">
      <c r="A84" s="67"/>
      <c r="B84" s="67"/>
    </row>
    <row r="85" spans="1:2" s="2" customFormat="1" ht="16.5">
      <c r="A85" s="67"/>
      <c r="B85" s="67"/>
    </row>
    <row r="86" spans="1:2" s="2" customFormat="1" ht="16.5">
      <c r="A86" s="67"/>
      <c r="B86" s="67"/>
    </row>
    <row r="87" spans="1:2" s="2" customFormat="1" ht="16.5">
      <c r="A87" s="67"/>
      <c r="B87" s="67"/>
    </row>
    <row r="88" spans="1:2" s="2" customFormat="1" ht="16.5">
      <c r="A88" s="67"/>
      <c r="B88" s="67"/>
    </row>
    <row r="89" spans="1:2" s="2" customFormat="1" ht="16.5">
      <c r="A89" s="67"/>
      <c r="B89" s="67"/>
    </row>
    <row r="90" spans="1:2" s="2" customFormat="1" ht="16.5">
      <c r="A90" s="67"/>
      <c r="B90" s="67"/>
    </row>
    <row r="91" spans="1:2" s="2" customFormat="1" ht="16.5">
      <c r="A91" s="67"/>
      <c r="B91" s="67"/>
    </row>
    <row r="92" spans="1:2" s="2" customFormat="1" ht="16.5">
      <c r="A92" s="67"/>
      <c r="B92" s="67"/>
    </row>
    <row r="93" spans="1:2" s="2" customFormat="1" ht="16.5">
      <c r="A93" s="67"/>
      <c r="B93" s="67"/>
    </row>
    <row r="94" spans="1:2" s="2" customFormat="1" ht="16.5">
      <c r="A94" s="67"/>
      <c r="B94" s="67"/>
    </row>
  </sheetData>
  <mergeCells count="21">
    <mergeCell ref="G8:H8"/>
    <mergeCell ref="G9:H10"/>
    <mergeCell ref="A24:H24"/>
    <mergeCell ref="A38:H38"/>
    <mergeCell ref="A39:H39"/>
    <mergeCell ref="A8:B8"/>
    <mergeCell ref="A9:B10"/>
    <mergeCell ref="C8:D8"/>
    <mergeCell ref="C9:D10"/>
    <mergeCell ref="E8:F8"/>
    <mergeCell ref="E9:F10"/>
    <mergeCell ref="A2:H2"/>
    <mergeCell ref="A1:H1"/>
    <mergeCell ref="A4:B4"/>
    <mergeCell ref="A5:B6"/>
    <mergeCell ref="C4:D4"/>
    <mergeCell ref="C5:D6"/>
    <mergeCell ref="E4:F4"/>
    <mergeCell ref="E5:F6"/>
    <mergeCell ref="G4:H4"/>
    <mergeCell ref="G5:H6"/>
  </mergeCells>
  <phoneticPr fontId="1" type="noConversion"/>
  <conditionalFormatting sqref="F26:F35">
    <cfRule type="expression" dxfId="1" priority="4">
      <formula>F26="过期"</formula>
    </cfRule>
    <cfRule type="expression" dxfId="2" priority="3">
      <formula>F26="临期-红"</formula>
    </cfRule>
    <cfRule type="expression" dxfId="3" priority="2">
      <formula>F26="临期-橙"</formula>
    </cfRule>
    <cfRule type="expression" dxfId="0" priority="1">
      <formula>F26="临期-黄"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00_使用说明</vt:lpstr>
      <vt:lpstr>01_SKU档案</vt:lpstr>
      <vt:lpstr>02_原料库存</vt:lpstr>
      <vt:lpstr>03_WIP在制品</vt:lpstr>
      <vt:lpstr>04_成品库存</vt:lpstr>
      <vt:lpstr>05_临期预警</vt:lpstr>
      <vt:lpstr>06_批次追溯</vt:lpstr>
      <vt:lpstr>07_Dashboard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</dc:creator>
  <cp:lastModifiedBy>Xiaorui Wu</cp:lastModifiedBy>
  <dcterms:created xsi:type="dcterms:W3CDTF">2015-06-05T18:17:20Z</dcterms:created>
  <dcterms:modified xsi:type="dcterms:W3CDTF">2026-05-23T08:58:08Z</dcterms:modified>
</cp:coreProperties>
</file>